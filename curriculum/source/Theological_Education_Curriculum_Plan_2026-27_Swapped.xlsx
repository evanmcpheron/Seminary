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9b7f118a5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030dc027dc4803"/>
    <x:sheet xmlns:r="http://schemas.openxmlformats.org/officeDocument/2006/relationships" name="Wheaton Plan" sheetId="2" r:id="R56cba58129ab484e"/>
    <x:sheet xmlns:r="http://schemas.openxmlformats.org/officeDocument/2006/relationships" name="GCTS Plan" sheetId="3" r:id="Reec70cf05e1e4521"/>
    <x:sheet xmlns:r="http://schemas.openxmlformats.org/officeDocument/2006/relationships" name="Princeton Plan" sheetId="4" r:id="R5347be3237a74fbc"/>
    <x:sheet xmlns:r="http://schemas.openxmlformats.org/officeDocument/2006/relationships" name="Wheaton Alternatives" sheetId="5" r:id="Rbd1cac1eee434801"/>
    <x:sheet xmlns:r="http://schemas.openxmlformats.org/officeDocument/2006/relationships" name="GCTS Alternatives" sheetId="6" r:id="Rc36a9666c21047b9"/>
    <x:sheet xmlns:r="http://schemas.openxmlformats.org/officeDocument/2006/relationships" name="Princeton Alternatives" sheetId="7" r:id="R46965df7e6504833"/>
    <x:sheet xmlns:r="http://schemas.openxmlformats.org/officeDocument/2006/relationships" name="Wheaton Audit" sheetId="8" r:id="Re915eec517c1433e"/>
    <x:sheet xmlns:r="http://schemas.openxmlformats.org/officeDocument/2006/relationships" name="GCTS Audit" sheetId="9" r:id="Rfe1b0d5cbf2b4fec"/>
    <x:sheet xmlns:r="http://schemas.openxmlformats.org/officeDocument/2006/relationships" name="Princeton Requirements" sheetId="10" r:id="Rac20d3c79e57482e"/>
    <x:sheet xmlns:r="http://schemas.openxmlformats.org/officeDocument/2006/relationships" name="Sources" sheetId="11" r:id="R49be4ceaddaf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1"/>
      <x:color rgb="FF1F2933"/>
      <x:name val="Carlito"/>
    </x:font>
    <x:font>
      <x:b/>
      <x:sz val="11"/>
      <x:color rgb="FFFFFFFF"/>
      <x:name val="Carlito"/>
    </x:font>
    <x:font>
      <x:b/>
      <x:sz val="9"/>
      <x:color rgb="FF17324D"/>
      <x:name val="Carlito"/>
    </x:font>
    <x:font>
      <x:b/>
      <x:sz val="9"/>
      <x:color rgb="FF1F2933"/>
      <x:name val="Carlito"/>
    </x:font>
    <x:font>
      <x:sz val="8"/>
      <x:color rgb="FF285F8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6FB"/>
      </x:patternFill>
    </x:fill>
    <x:fill>
      <x:patternFill patternType="solid">
        <x:fgColor rgb="FF285F8F"/>
      </x:patternFill>
    </x:fill>
    <x:fill>
      <x:patternFill patternType="solid">
        <x:fgColor rgb="FFF4E7C5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</x:fills>
  <x:borders count="16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top/>
      <x:bottom/>
    </x:border>
    <x:border>
      <x:right/>
      <x:top/>
      <x:bottom/>
    </x:border>
    <x:border>
      <x:top/>
      <x:bottom/>
    </x:border>
    <x:border>
      <x:right/>
      <x:top/>
      <x:bottom/>
    </x:border>
    <x:border>
      <x:top/>
    </x:border>
    <x:border>
      <x:top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4" fillId="6" borderId="5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8" fillId="7" borderId="1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9" fillId="3" borderId="11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4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9" fillId="3" borderId="6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9" fillId="3" borderId="9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4" fillId="7" borderId="5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e79b45c7f476b" /><Relationship Type="http://schemas.openxmlformats.org/officeDocument/2006/relationships/theme" Target="/xl/theme/theme1.xml" Id="Rd216921c6d944ef2" /><Relationship Type="http://schemas.openxmlformats.org/officeDocument/2006/relationships/sharedStrings" Target="/xl/sharedStrings.xml" Id="R5bfa2afcff684324" /><Relationship Type="http://schemas.openxmlformats.org/officeDocument/2006/relationships/worksheet" Target="/xl/worksheets/sheet1.xml" Id="R94030dc027dc4803" /><Relationship Type="http://schemas.openxmlformats.org/officeDocument/2006/relationships/worksheet" Target="/xl/worksheets/sheet2.xml" Id="R56cba58129ab484e" /><Relationship Type="http://schemas.openxmlformats.org/officeDocument/2006/relationships/worksheet" Target="/xl/worksheets/sheet3.xml" Id="Reec70cf05e1e4521" /><Relationship Type="http://schemas.openxmlformats.org/officeDocument/2006/relationships/worksheet" Target="/xl/worksheets/sheet4.xml" Id="R5347be3237a74fbc" /><Relationship Type="http://schemas.openxmlformats.org/officeDocument/2006/relationships/worksheet" Target="/xl/worksheets/sheet5.xml" Id="Rbd1cac1eee434801" /><Relationship Type="http://schemas.openxmlformats.org/officeDocument/2006/relationships/worksheet" Target="/xl/worksheets/sheet6.xml" Id="Rc36a9666c21047b9" /><Relationship Type="http://schemas.openxmlformats.org/officeDocument/2006/relationships/worksheet" Target="/xl/worksheets/sheet7.xml" Id="R46965df7e6504833" /><Relationship Type="http://schemas.openxmlformats.org/officeDocument/2006/relationships/worksheet" Target="/xl/worksheets/sheet8.xml" Id="Re915eec517c1433e" /><Relationship Type="http://schemas.openxmlformats.org/officeDocument/2006/relationships/worksheet" Target="/xl/worksheets/sheet9.xml" Id="Rfe1b0d5cbf2b4fec" /><Relationship Type="http://schemas.openxmlformats.org/officeDocument/2006/relationships/worksheet" Target="/xl/worksheets/sheet10.xml" Id="Rac20d3c79e57482e" /><Relationship Type="http://schemas.openxmlformats.org/officeDocument/2006/relationships/worksheet" Target="/xl/worksheets/sheet11.xml" Id="R49be4ceaddaf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40" hidden="0" customWidth="1"/>
    <x:col min="4" max="4" width="25" hidden="0" customWidth="1"/>
    <x:col min="5" max="5" width="18" hidden="0" customWidth="1"/>
    <x:col min="6" max="6" width="28" hidden="0" customWidth="1"/>
    <x:col min="7" max="7" width="49" hidden="0" customWidth="1"/>
    <x:col min="8" max="8" width="55" hidden="0" customWidth="1"/>
  </x:cols>
  <x:sheetData>
    <x:row r="1" ht="28" customHeight="1">
      <x:c r="A1" s="4" t="str">
        <x:v>Theological Education Curriculum Plan — Current 2026–27 Catalogs</x:v>
      </x:c>
      <x:c r="B1" s="4"/>
      <x:c r="C1" s="4"/>
      <x:c r="D1" s="4"/>
      <x:c r="E1" s="4"/>
      <x:c r="F1" s="4"/>
      <x:c r="G1" s="4"/>
      <x:c r="H1" s="4"/>
    </x:row>
    <x:row r="2" ht="44" customHeight="1">
      <x:c r="A2" s="11" t="str">
        <x:v>Proposed full-time sequence: Wheaton College BA → Gordon-Conwell MDiv → Princeton Theological Seminary PhD in Biblical Studies, New Testament. This regenerated version contains the eight requested Wheaton course swaps.</x:v>
      </x:c>
      <x:c r="B2" s="11"/>
      <x:c r="C2" s="11"/>
      <x:c r="D2" s="11"/>
      <x:c r="E2" s="11"/>
      <x:c r="F2" s="11"/>
      <x:c r="G2" s="11"/>
      <x:c r="H2" s="11"/>
    </x:row>
    <x:row r="4">
      <x:c r="A4" s="21" t="str">
        <x:v>Stage</x:v>
      </x:c>
      <x:c r="B4" s="21" t="str">
        <x:v>Institution</x:v>
      </x:c>
      <x:c r="C4" s="21" t="str">
        <x:v>Degree / Field</x:v>
      </x:c>
      <x:c r="D4" s="21" t="str">
        <x:v>Full-Time Design</x:v>
      </x:c>
      <x:c r="E4" s="21" t="str">
        <x:v>Catalog Credits</x:v>
      </x:c>
      <x:c r="F4" s="21" t="str">
        <x:v>Plan Type</x:v>
      </x:c>
      <x:c r="G4" s="21" t="str">
        <x:v>Primary Rationale</x:v>
      </x:c>
      <x:c r="H4" s="21" t="str">
        <x:v>Accuracy Boundary</x:v>
      </x:c>
    </x:row>
    <x:row r="5" ht="82" customHeight="1">
      <x:c r="A5" s="36" t="str">
        <x:v>Bachelor's</x:v>
      </x:c>
      <x:c r="B5" s="36" t="str">
        <x:v>Wheaton College</x:v>
      </x:c>
      <x:c r="C5" s="36" t="str">
        <x:v>BA: Greek Major Integrated with Biblical and Theological Studies</x:v>
      </x:c>
      <x:c r="D5" s="36" t="str">
        <x:v>4 academic years</x:v>
      </x:c>
      <x:c r="E5" s="36" t="n">
        <x:v>133</x:v>
      </x:c>
      <x:c r="F5" s="36" t="str">
        <x:v>Customized current-catalog model schedule</x:v>
      </x:c>
      <x:c r="G5" s="36" t="str">
        <x:v>Greek major, Greek exegesis, Hebrew sequence, philosophy, apologetics, religion, and theology electives.</x:v>
      </x:c>
      <x:c r="H5" s="37" t="str">
        <x:v>This customized plan intentionally replaces eight general/core courses; it exceeds the published 124-credit minimum and may not itself satisfy all Wheaton general-education requirements.</x:v>
      </x:c>
    </x:row>
    <x:row r="6" ht="82" customHeight="1">
      <x:c r="A6" s="36" t="str">
        <x:v>Master's</x:v>
      </x:c>
      <x:c r="B6" s="36" t="str">
        <x:v>Gordon-Conwell Theological Seminary</x:v>
      </x:c>
      <x:c r="C6" s="36" t="str">
        <x:v>Master of Divinity</x:v>
      </x:c>
      <x:c r="D6" s="36" t="str">
        <x:v>3 calendar years including January/summer terms</x:v>
      </x:c>
      <x:c r="E6" s="36" t="n">
        <x:v>90</x:v>
      </x:c>
      <x:c r="F6" s="36" t="str">
        <x:v>Complete catalog-compliant model schedule</x:v>
      </x:c>
      <x:c r="G6" s="36" t="str">
        <x:v>Both biblical languages, exegesis, theology, church history, preaching, mentored ministry, and apologetics.</x:v>
      </x:c>
      <x:c r="H6" s="37" t="str">
        <x:v>Exact annual term availability must be checked when registering.</x:v>
      </x:c>
    </x:row>
    <x:row r="7" ht="82" customHeight="1">
      <x:c r="A7" s="38" t="str">
        <x:v>Doctorate</x:v>
      </x:c>
      <x:c r="B7" s="38" t="str">
        <x:v>Princeton Theological Seminary</x:v>
      </x:c>
      <x:c r="C7" s="38" t="str">
        <x:v>PhD in Biblical Studies — New Testament</x:v>
      </x:c>
      <x:c r="D7" s="38" t="str">
        <x:v>5 consecutive full-time years</x:v>
      </x:c>
      <x:c r="E7" s="38" t="str">
        <x:v>Not expressed as one public fixed credit total</x:v>
      </x:c>
      <x:c r="F7" s="38" t="str">
        <x:v>Exact requirement-and-milestone framework</x:v>
      </x:c>
      <x:c r="G7" s="38" t="str">
        <x:v>Advanced New Testament scholarship, languages, historical contexts, comprehensive exams, and dissertation.</x:v>
      </x:c>
      <x:c r="H7" s="39" t="str">
        <x:v>Princeton prescribes categories and milestones rather than one universal set of named seminars.</x:v>
      </x:c>
    </x:row>
    <x:row r="9">
      <x:c r="A9" s="54" t="str">
        <x:v>Projected uninterrupted full-time duration: 12 years (4 + 3 + 5), excluding application gaps, leaves, prerequisite remediation, or dissertation extension.</x:v>
      </x:c>
      <x:c r="B9" s="54"/>
      <x:c r="C9" s="54"/>
      <x:c r="D9" s="54"/>
      <x:c r="E9" s="54"/>
      <x:c r="F9" s="54"/>
      <x:c r="G9" s="54"/>
      <x:c r="H9" s="54"/>
    </x:row>
    <x:row r="11">
      <x:c r="A11" s="58" t="str">
        <x:v>How to read this workbook</x:v>
      </x:c>
      <x:c r="B11" s="58"/>
      <x:c r="C11" s="58"/>
      <x:c r="D11" s="58"/>
      <x:c r="E11" s="58"/>
      <x:c r="F11" s="58"/>
      <x:c r="G11" s="58"/>
      <x:c r="H11" s="58"/>
    </x:row>
    <x:row r="12">
      <x:c r="A12" s="62" t="str">
        <x:v>1</x:v>
      </x:c>
      <x:c r="B12" s="38" t="str">
        <x:v>A named course number and title appears only when it is listed in the current official catalog.</x:v>
      </x:c>
      <x:c r="C12" s="38"/>
      <x:c r="D12" s="38"/>
      <x:c r="E12" s="38"/>
      <x:c r="F12" s="38"/>
      <x:c r="G12" s="38"/>
      <x:c r="H12" s="39"/>
    </x:row>
    <x:row r="13">
      <x:c r="A13" s="62" t="str">
        <x:v>2</x:v>
      </x:c>
      <x:c r="B13" s="38" t="str">
        <x:v>Wheaton and Gordon-Conwell semester assignments are planning sequences, not promises of exact future term availability.</x:v>
      </x:c>
      <x:c r="C13" s="38"/>
      <x:c r="D13" s="38"/>
      <x:c r="E13" s="38"/>
      <x:c r="F13" s="38"/>
      <x:c r="G13" s="38"/>
      <x:c r="H13" s="39"/>
    </x:row>
    <x:row r="14">
      <x:c r="A14" s="62" t="str">
        <x:v>3</x:v>
      </x:c>
      <x:c r="B14" s="38" t="str">
        <x:v>Princeton seminar categories are shown at the level the program publishes.</x:v>
      </x:c>
      <x:c r="C14" s="38"/>
      <x:c r="D14" s="38"/>
      <x:c r="E14" s="38"/>
      <x:c r="F14" s="38"/>
      <x:c r="G14" s="38"/>
      <x:c r="H14" s="39"/>
    </x:row>
    <x:row r="15">
      <x:c r="A15" s="62" t="str">
        <x:v>4</x:v>
      </x:c>
      <x:c r="B15" s="38" t="str">
        <x:v>The eight requested Wheaton swaps are preserved; the resulting Wheaton total is 133 credits.</x:v>
      </x:c>
      <x:c r="C15" s="38"/>
      <x:c r="D15" s="38"/>
      <x:c r="E15" s="38"/>
      <x:c r="F15" s="38"/>
      <x:c r="G15" s="38"/>
      <x:c r="H15" s="39"/>
    </x:row>
    <x:row r="16">
      <x:c r="A16" s="62" t="str">
        <x:v>5</x:v>
      </x:c>
      <x:c r="B16" s="38" t="str">
        <x:v>Descriptions are concise catalog-based paraphrases; source URLs are included.</x:v>
      </x:c>
      <x:c r="C16" s="38"/>
      <x:c r="D16" s="38"/>
      <x:c r="E16" s="38"/>
      <x:c r="F16" s="38"/>
      <x:c r="G16" s="38"/>
      <x:c r="H16" s="39"/>
    </x:row>
  </x:sheetData>
  <x:mergeCells>
    <x:mergeCell ref="A1:H1"/>
    <x:mergeCell ref="A2:H2"/>
    <x:mergeCell ref="A9:H9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34" hidden="0" customWidth="1"/>
    <x:col min="5" max="5" width="11" hidden="0" customWidth="1"/>
    <x:col min="6" max="6" width="26" hidden="0" customWidth="1"/>
    <x:col min="7" max="7" width="48" hidden="0" customWidth="1"/>
    <x:col min="8" max="8" width="38" hidden="0" customWidth="1"/>
    <x:col min="9" max="9" width="34" hidden="0" customWidth="1"/>
    <x:col min="10" max="10" width="41" hidden="0" customWidth="1"/>
    <x:col min="11" max="11" width="42" hidden="0" customWidth="1"/>
  </x:cols>
  <x:sheetData>
    <x:row r="1" ht="28" customHeight="1">
      <x:c r="A1" s="4" t="str">
        <x:v>Wheaton College — Four-Year BA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4" customHeight="1">
      <x:c r="A2" s="11" t="str">
        <x:v>Degree: Greek Major Integrated with Biblical and Theological Studies, using the 2026–27 catalog. This version contains the eight requested replacements. Total: 133 credits.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21" t="str">
        <x:v>Year</x:v>
      </x:c>
      <x:c r="B4" s="21" t="str">
        <x:v>Term</x:v>
      </x:c>
      <x:c r="C4" s="21" t="str">
        <x:v>Course Code / Requirement</x:v>
      </x:c>
      <x:c r="D4" s="21" t="str">
        <x:v>Exact Current Catalog Title / Published Label</x:v>
      </x:c>
      <x:c r="E4" s="21" t="str">
        <x:v>Credits</x:v>
      </x:c>
      <x:c r="F4" s="21" t="str">
        <x:v>Requirement Status</x:v>
      </x:c>
      <x:c r="G4" s="21" t="str">
        <x:v>Catalog-Based Description</x:v>
      </x:c>
      <x:c r="H4" s="21" t="str">
        <x:v>Why It Is Included</x:v>
      </x:c>
      <x:c r="I4" s="21" t="str">
        <x:v>Prerequisites / Completion Condition</x:v>
      </x:c>
      <x:c r="J4" s="21" t="str">
        <x:v>Offering and Accuracy Note</x:v>
      </x:c>
      <x:c r="K4" s="21" t="str">
        <x:v>Official Catalog Source</x:v>
      </x:c>
    </x:row>
    <x:row r="5" ht="66" customHeight="1">
      <x:c r="A5" s="84" t="str">
        <x:v>Year 1</x:v>
      </x:c>
      <x:c r="B5" s="84" t="str">
        <x:v>Fall</x:v>
      </x:c>
      <x:c r="C5" s="85" t="str">
        <x:v>BITH 301</x:v>
      </x:c>
      <x:c r="D5" s="86" t="str">
        <x:v>How We Got the Bible</x:v>
      </x:c>
      <x:c r="E5" s="84" t="n">
        <x:v>4</x:v>
      </x:c>
      <x:c r="F5" s="84" t="str">
        <x:v>Supporting elective</x:v>
      </x:c>
      <x:c r="G5" s="84" t="str">
        <x:v>Investigates how the Christian Bible reached its canonical form, including composition, textual transmission, canonization, manuscript evidence, Apocryphal/Deuterocanonical literature, and theological reflection on the canon.</x:v>
      </x:c>
      <x:c r="H5" s="84" t="str">
        <x:v>Strengthens biblical scholarship and apologetics concerning canon, textual transmission, and the history of Scripture.</x:v>
      </x:c>
      <x:c r="I5" s="84" t="str">
        <x:v>Catalog prerequisite applies: BITH 211, BITH 213, BITH 221, BITH 312, ARCH 211, or ARCH 213.</x:v>
      </x:c>
      <x:c r="J5" s="84" t="str">
        <x:v>Placed in the existing slot per the requested one-for-one swap; this term placement may require prior prerequisite credit or approval.</x:v>
      </x:c>
      <x:c r="K5" s="87" t="str">
        <x:v>https://catalog.wheaton.edu/course-descriptions/bith/</x:v>
      </x:c>
    </x:row>
    <x:row r="6" ht="66" customHeight="1">
      <x:c r="A6" s="92" t="str">
        <x:v>Year 1</x:v>
      </x:c>
      <x:c r="B6" s="92" t="str">
        <x:v>Fall</x:v>
      </x:c>
      <x:c r="C6" s="93" t="str">
        <x:v>PHIL 241</x:v>
      </x:c>
      <x:c r="D6" s="94" t="str">
        <x:v>Suffering</x:v>
      </x:c>
      <x:c r="E6" s="92" t="n">
        <x:v>4</x:v>
      </x:c>
      <x:c r="F6" s="92" t="str">
        <x:v>Supporting elective</x:v>
      </x:c>
      <x:c r="G6" s="92" t="str">
        <x:v>Examines the philosophical and theological problem of suffering and evil through major Christian and philosophical treatments of the problem of pain.</x:v>
      </x:c>
      <x:c r="H6" s="92" t="str">
        <x:v>Directly develops preparation for one of the central philosophical objections addressed in Christian apologetics.</x:v>
      </x:c>
      <x:c r="I6" s="92" t="str">
        <x:v>None stated in the current catalog.</x:v>
      </x:c>
      <x:c r="J6" s="92" t="str">
        <x:v>Placed in the existing slot per the requested one-for-one swap.</x:v>
      </x:c>
      <x:c r="K6" s="95" t="str">
        <x:v>https://catalog.wheaton.edu/course-descriptions/phil/</x:v>
      </x:c>
    </x:row>
    <x:row r="7" ht="66" customHeight="1">
      <x:c r="A7" s="92" t="str">
        <x:v>Year 1</x:v>
      </x:c>
      <x:c r="B7" s="92" t="str">
        <x:v>Fall</x:v>
      </x:c>
      <x:c r="C7" s="93" t="str">
        <x:v>ARCH 369</x:v>
      </x:c>
      <x:c r="D7" s="94" t="str">
        <x:v>Religions of Israel and the Near East</x:v>
      </x:c>
      <x:c r="E7" s="92" t="n">
        <x:v>4</x:v>
      </x:c>
      <x:c r="F7" s="92" t="str">
        <x:v>Supporting elective</x:v>
      </x:c>
      <x:c r="G7" s="92" t="str">
        <x:v>Introduces theoretical approaches to religion and studies religious traditions of ancient Mesopotamia, Israel, and Canaan, including questions about divinity, religious humanity, evil and suffering, and monotheism.</x:v>
      </x:c>
      <x:c r="H7" s="92" t="str">
        <x:v>Strengthens Ancient Near Eastern background, Old Testament scholarship, and philosophy-of-religion preparation.</x:v>
      </x:c>
      <x:c r="I7" s="92" t="str">
        <x:v>Prerequisite: BITH 211, BITH 221, or BITH 312, or ARCH 211.</x:v>
      </x:c>
      <x:c r="J7" s="92" t="str">
        <x:v>Placed in the existing slot per the requested one-for-one swap; this term placement may require prior prerequisite credit or approval.</x:v>
      </x:c>
      <x:c r="K7" s="95" t="str">
        <x:v>https://catalog.wheaton.edu/course-descriptions/arch/</x:v>
      </x:c>
    </x:row>
    <x:row r="8" ht="66" customHeight="1">
      <x:c r="A8" s="92" t="str">
        <x:v>Year 1</x:v>
      </x:c>
      <x:c r="B8" s="92" t="str">
        <x:v>Fall</x:v>
      </x:c>
      <x:c r="C8" s="93" t="str">
        <x:v>GREK 101</x:v>
      </x:c>
      <x:c r="D8" s="94" t="str">
        <x:v>Elementary Greek I</x:v>
      </x:c>
      <x:c r="E8" s="92" t="n">
        <x:v>4</x:v>
      </x:c>
      <x:c r="F8" s="92" t="str">
        <x:v>Major requirement</x:v>
      </x:c>
      <x:c r="G8" s="92" t="str">
        <x:v>Begins intensive study of Ancient Greek grammar, syntax, vocabulary, and translation, including readings relevant to the New Testament.</x:v>
      </x:c>
      <x:c r="H8" s="92" t="str">
        <x:v>First course in the required Greek sequence for the integrated major.</x:v>
      </x:c>
      <x:c r="I8" s="92" t="str">
        <x:v>None stated.</x:v>
      </x:c>
      <x:c r="J8" s="92" t="str">
        <x:v>Normally begins the fall-to-spring elementary sequence.</x:v>
      </x:c>
      <x:c r="K8" s="95" t="str">
        <x:v>https://catalog.wheaton.edu/course-descriptions/grek/</x:v>
      </x:c>
    </x:row>
    <x:row r="9" ht="66" customHeight="1">
      <x:c r="A9" s="92" t="str">
        <x:v>Year 1</x:v>
      </x:c>
      <x:c r="B9" s="92" t="str">
        <x:v>Fall</x:v>
      </x:c>
      <x:c r="C9" s="93" t="str">
        <x:v>PHIL 101</x:v>
      </x:c>
      <x:c r="D9" s="94" t="str">
        <x:v>Introduction to Philosophy</x:v>
      </x:c>
      <x:c r="E9" s="92" t="n">
        <x:v>4</x:v>
      </x:c>
      <x:c r="F9" s="92" t="str">
        <x:v>Thematic Core choice</x:v>
      </x:c>
      <x:c r="G9" s="92" t="str">
        <x:v>Introduces major philosophical questions, figures, and arguments in metaphysics, epistemology, ethics, and related fields.</x:v>
      </x:c>
      <x:c r="H9" s="92" t="str">
        <x:v>Builds the conceptual and argumentative foundation needed for Protestant apologetics.</x:v>
      </x:c>
      <x:c r="I9" s="92" t="str">
        <x:v>None stated.</x:v>
      </x:c>
      <x:c r="J9" s="92" t="str">
        <x:v>Selected as the philosophy/integrative choice; alternatives are listed separately.</x:v>
      </x:c>
      <x:c r="K9" s="95" t="str">
        <x:v>https://catalog.wheaton.edu/course-descriptions/phil/</x:v>
      </x:c>
    </x:row>
    <x:row r="10" ht="66" customHeight="1">
      <x:c r="A10" s="100" t="str">
        <x:v>Year 1</x:v>
      </x:c>
      <x:c r="B10" s="100" t="str">
        <x:v>Spring</x:v>
      </x:c>
      <x:c r="C10" s="101" t="str">
        <x:v>GREK 102</x:v>
      </x:c>
      <x:c r="D10" s="102" t="str">
        <x:v>Elementary Greek II</x:v>
      </x:c>
      <x:c r="E10" s="100" t="n">
        <x:v>4</x:v>
      </x:c>
      <x:c r="F10" s="100" t="str">
        <x:v>Major requirement</x:v>
      </x:c>
      <x:c r="G10" s="100" t="str">
        <x:v>Continues elementary Ancient Greek grammar, syntax, vocabulary, and translation, preparing students for intermediate reading.</x:v>
      </x:c>
      <x:c r="H10" s="100" t="str">
        <x:v>Completes the elementary portion of the required Greek sequence.</x:v>
      </x:c>
      <x:c r="I10" s="100" t="str">
        <x:v>GREK 101.</x:v>
      </x:c>
      <x:c r="J10" s="100" t="str">
        <x:v>Normally follows GREK 101.</x:v>
      </x:c>
      <x:c r="K10" s="103" t="str">
        <x:v>https://catalog.wheaton.edu/course-descriptions/grek/</x:v>
      </x:c>
    </x:row>
    <x:row r="11" ht="66" customHeight="1">
      <x:c r="A11" s="108" t="str">
        <x:v>Year 1</x:v>
      </x:c>
      <x:c r="B11" s="108" t="str">
        <x:v>Spring</x:v>
      </x:c>
      <x:c r="C11" s="109" t="str">
        <x:v>BITH 211</x:v>
      </x:c>
      <x:c r="D11" s="110" t="str">
        <x:v>Old Testament Literature and Interpretation</x:v>
      </x:c>
      <x:c r="E11" s="108" t="n">
        <x:v>4</x:v>
      </x:c>
      <x:c r="F11" s="108" t="str">
        <x:v>Shared Core requirement</x:v>
      </x:c>
      <x:c r="G11" s="108" t="str">
        <x:v>Surveys the Old Testament books, genres, historical and cultural settings, transmission, geography, and major theological themes.</x:v>
      </x:c>
      <x:c r="H11" s="108" t="str">
        <x:v>Required biblical foundation and preparation for Hebrew and advanced Old Testament study.</x:v>
      </x:c>
      <x:c r="I11" s="108" t="str">
        <x:v>None stated.</x:v>
      </x:c>
      <x:c r="J11" s="108" t="str">
        <x:v>Required shared-core biblical course.</x:v>
      </x:c>
      <x:c r="K11" s="111" t="str">
        <x:v>https://catalog.wheaton.edu/course-descriptions/bith/</x:v>
      </x:c>
    </x:row>
    <x:row r="12" ht="66" customHeight="1">
      <x:c r="A12" s="108" t="str">
        <x:v>Year 1</x:v>
      </x:c>
      <x:c r="B12" s="108" t="str">
        <x:v>Spring</x:v>
      </x:c>
      <x:c r="C12" s="109" t="str">
        <x:v>RELI 356</x:v>
      </x:c>
      <x:c r="D12" s="110" t="str">
        <x:v>The Jewish Tradition</x:v>
      </x:c>
      <x:c r="E12" s="108" t="n">
        <x:v>4</x:v>
      </x:c>
      <x:c r="F12" s="108" t="str">
        <x:v>Supporting elective</x:v>
      </x:c>
      <x:c r="G12" s="108" t="str">
        <x:v>Introduces the history, beliefs, and practices of Judaism with special attention to contemporary Jewish life and identity; a synagogue visit is an integral part of the course.</x:v>
      </x:c>
      <x:c r="H12" s="108" t="str">
        <x:v>Provides essential Jewish religious and historical context for New Testament scholarship and informed Christian-Jewish engagement.</x:v>
      </x:c>
      <x:c r="I12" s="108" t="str">
        <x:v>None stated in the current catalog.</x:v>
      </x:c>
      <x:c r="J12" s="108" t="str">
        <x:v>Placed in the existing slot per the requested one-for-one swap.</x:v>
      </x:c>
      <x:c r="K12" s="111" t="str">
        <x:v>https://catalog.wheaton.edu/course-descriptions/reli/</x:v>
      </x:c>
    </x:row>
    <x:row r="13" ht="66" customHeight="1">
      <x:c r="A13" s="108" t="str">
        <x:v>Year 1</x:v>
      </x:c>
      <x:c r="B13" s="108" t="str">
        <x:v>Spring</x:v>
      </x:c>
      <x:c r="C13" s="109" t="str">
        <x:v>RELI 225</x:v>
      </x:c>
      <x:c r="D13" s="110" t="str">
        <x:v>Major World Religions</x:v>
      </x:c>
      <x:c r="E13" s="108" t="n">
        <x:v>4</x:v>
      </x:c>
      <x:c r="F13" s="108" t="str">
        <x:v>Supporting elective</x:v>
      </x:c>
      <x:c r="G13" s="108" t="str">
        <x:v>Surveys major world religions, methods used in religious studies, and the histories, beliefs, and practices of the traditions studied while developing a Christian theological perspective on non-Christian religions.</x:v>
      </x:c>
      <x:c r="H13" s="108" t="str">
        <x:v>Provides broad comparative-religion preparation for Protestant apologetics and cross-cultural ministry.</x:v>
      </x:c>
      <x:c r="I13" s="108" t="str">
        <x:v>None stated in the current catalog.</x:v>
      </x:c>
      <x:c r="J13" s="108" t="str">
        <x:v>Placed in the existing slot per the requested one-for-one swap.</x:v>
      </x:c>
      <x:c r="K13" s="111" t="str">
        <x:v>https://catalog.wheaton.edu/course-descriptions/reli/</x:v>
      </x:c>
    </x:row>
    <x:row r="14" ht="66" customHeight="1">
      <x:c r="A14" s="108" t="str">
        <x:v>Year 1</x:v>
      </x:c>
      <x:c r="B14" s="108" t="str">
        <x:v>Spring</x:v>
      </x:c>
      <x:c r="C14" s="109" t="str">
        <x:v>RELI 233</x:v>
      </x:c>
      <x:c r="D14" s="110" t="str">
        <x:v>Theological Approaches to Religious Diversity</x:v>
      </x:c>
      <x:c r="E14" s="108" t="n">
        <x:v>4</x:v>
      </x:c>
      <x:c r="F14" s="108" t="str">
        <x:v>Supporting elective</x:v>
      </x:c>
      <x:c r="G14" s="108" t="str">
        <x:v>Surveys current methodologies in comparative religious studies, including theology of religions, comparative theology, and missiology.</x:v>
      </x:c>
      <x:c r="H14" s="108" t="str">
        <x:v>Develops a more rigorous theological framework for evaluating religious diversity and competing truth claims.</x:v>
      </x:c>
      <x:c r="I14" s="108" t="str">
        <x:v>None stated in the current catalog.</x:v>
      </x:c>
      <x:c r="J14" s="108" t="str">
        <x:v>Placed in the existing slot per the requested one-for-one swap.</x:v>
      </x:c>
      <x:c r="K14" s="111" t="str">
        <x:v>https://catalog.wheaton.edu/course-descriptions/reli/</x:v>
      </x:c>
    </x:row>
    <x:row r="15" ht="66" customHeight="1">
      <x:c r="A15" s="84" t="str">
        <x:v>Year 2</x:v>
      </x:c>
      <x:c r="B15" s="84" t="str">
        <x:v>Fall</x:v>
      </x:c>
      <x:c r="C15" s="85" t="str">
        <x:v>GREK 201</x:v>
      </x:c>
      <x:c r="D15" s="86" t="str">
        <x:v>Intermediate Greek</x:v>
      </x:c>
      <x:c r="E15" s="84" t="n">
        <x:v>4</x:v>
      </x:c>
      <x:c r="F15" s="84" t="str">
        <x:v>Major requirement</x:v>
      </x:c>
      <x:c r="G15" s="84" t="str">
        <x:v>Advances Greek grammar, syntax, vocabulary, and sustained reading of ancient texts, including New Testament material.</x:v>
      </x:c>
      <x:c r="H15" s="84" t="str">
        <x:v>Completes the lower-division Greek sequence required by the major.</x:v>
      </x:c>
      <x:c r="I15" s="84" t="str">
        <x:v>GREK 102.</x:v>
      </x:c>
      <x:c r="J15" s="84" t="str">
        <x:v>Required prerequisite for upper-division Greek work.</x:v>
      </x:c>
      <x:c r="K15" s="87" t="str">
        <x:v>https://catalog.wheaton.edu/course-descriptions/grek/</x:v>
      </x:c>
    </x:row>
    <x:row r="16" ht="66" customHeight="1">
      <x:c r="A16" s="92" t="str">
        <x:v>Year 2</x:v>
      </x:c>
      <x:c r="B16" s="92" t="str">
        <x:v>Fall</x:v>
      </x:c>
      <x:c r="C16" s="93" t="str">
        <x:v>HEBR 101</x:v>
      </x:c>
      <x:c r="D16" s="94" t="str">
        <x:v>Elementary Hebrew I</x:v>
      </x:c>
      <x:c r="E16" s="92" t="n">
        <x:v>4</x:v>
      </x:c>
      <x:c r="F16" s="92" t="str">
        <x:v>Supporting elective</x:v>
      </x:c>
      <x:c r="G16" s="92" t="str">
        <x:v>Introduces Biblical Hebrew grammar, syntax, vocabulary, and guided reading from the Hebrew Bible.</x:v>
      </x:c>
      <x:c r="H16" s="92" t="str">
        <x:v>Adds the second principal biblical language expected for advanced biblical scholarship.</x:v>
      </x:c>
      <x:c r="I16" s="92" t="str">
        <x:v>None stated.</x:v>
      </x:c>
      <x:c r="J16" s="92" t="str">
        <x:v>Not required by the Greek-integrated major; deliberately added as an elective.</x:v>
      </x:c>
      <x:c r="K16" s="95" t="str">
        <x:v>https://catalog.wheaton.edu/course-descriptions/hebr/</x:v>
      </x:c>
    </x:row>
    <x:row r="17" ht="66" customHeight="1">
      <x:c r="A17" s="92" t="str">
        <x:v>Year 2</x:v>
      </x:c>
      <x:c r="B17" s="92" t="str">
        <x:v>Fall</x:v>
      </x:c>
      <x:c r="C17" s="93" t="str">
        <x:v>BITH 213</x:v>
      </x:c>
      <x:c r="D17" s="94" t="str">
        <x:v>New Testament Literature and Interpretation</x:v>
      </x:c>
      <x:c r="E17" s="92" t="n">
        <x:v>4</x:v>
      </x:c>
      <x:c r="F17" s="92" t="str">
        <x:v>Shared Core requirement</x:v>
      </x:c>
      <x:c r="G17" s="92" t="str">
        <x:v>Surveys the New Testament in its historical, literary, and theological dimensions, with attention to responsible interpretation.</x:v>
      </x:c>
      <x:c r="H17" s="92" t="str">
        <x:v>Required New Testament foundation for later Greek exegesis.</x:v>
      </x:c>
      <x:c r="I17" s="92" t="str">
        <x:v>None stated.</x:v>
      </x:c>
      <x:c r="J17" s="92" t="str">
        <x:v>Required shared-core biblical course.</x:v>
      </x:c>
      <x:c r="K17" s="95" t="str">
        <x:v>https://catalog.wheaton.edu/course-descriptions/bith/</x:v>
      </x:c>
    </x:row>
    <x:row r="18" ht="66" customHeight="1">
      <x:c r="A18" s="92" t="str">
        <x:v>Year 2</x:v>
      </x:c>
      <x:c r="B18" s="92" t="str">
        <x:v>Fall</x:v>
      </x:c>
      <x:c r="C18" s="93" t="str">
        <x:v>PHIL 245</x:v>
      </x:c>
      <x:c r="D18" s="94" t="str">
        <x:v>Logic</x:v>
      </x:c>
      <x:c r="E18" s="92" t="n">
        <x:v>4</x:v>
      </x:c>
      <x:c r="F18" s="92" t="str">
        <x:v>Thematic Core choice</x:v>
      </x:c>
      <x:c r="G18" s="92" t="str">
        <x:v>Studies informal and formal reasoning, analysis of arguments, and logical applications to philosophical and theological questions.</x:v>
      </x:c>
      <x:c r="H18" s="92" t="str">
        <x:v>Provides essential formal reasoning for scholarship and apologetics.</x:v>
      </x:c>
      <x:c r="I18" s="92" t="str">
        <x:v>None stated.</x:v>
      </x:c>
      <x:c r="J18" s="92" t="str">
        <x:v>Selected quantitative/analytic-reasoning option.</x:v>
      </x:c>
      <x:c r="K18" s="95" t="str">
        <x:v>https://catalog.wheaton.edu/course-descriptions/phil/</x:v>
      </x:c>
    </x:row>
    <x:row r="19" ht="66" customHeight="1">
      <x:c r="A19" s="100" t="str">
        <x:v>Year 2</x:v>
      </x:c>
      <x:c r="B19" s="100" t="str">
        <x:v>Spring</x:v>
      </x:c>
      <x:c r="C19" s="101" t="str">
        <x:v>HEBR 102</x:v>
      </x:c>
      <x:c r="D19" s="102" t="str">
        <x:v>Elementary Hebrew II</x:v>
      </x:c>
      <x:c r="E19" s="100" t="n">
        <x:v>4</x:v>
      </x:c>
      <x:c r="F19" s="100" t="str">
        <x:v>Supporting elective</x:v>
      </x:c>
      <x:c r="G19" s="100" t="str">
        <x:v>Continues elementary Biblical Hebrew grammar, syntax, vocabulary, and reading of the Hebrew Bible.</x:v>
      </x:c>
      <x:c r="H19" s="100" t="str">
        <x:v>Completes the elementary Hebrew sequence.</x:v>
      </x:c>
      <x:c r="I19" s="100" t="str">
        <x:v>HEBR 101.</x:v>
      </x:c>
      <x:c r="J19" s="100" t="str">
        <x:v>Elective added for doctoral preparation.</x:v>
      </x:c>
      <x:c r="K19" s="103" t="str">
        <x:v>https://catalog.wheaton.edu/course-descriptions/hebr/</x:v>
      </x:c>
    </x:row>
    <x:row r="20" ht="66" customHeight="1">
      <x:c r="A20" s="108" t="str">
        <x:v>Year 2</x:v>
      </x:c>
      <x:c r="B20" s="108" t="str">
        <x:v>Spring</x:v>
      </x:c>
      <x:c r="C20" s="109" t="str">
        <x:v>BITH 325</x:v>
      </x:c>
      <x:c r="D20" s="110" t="str">
        <x:v>Biblical Interpretation and Hermeneutics</x:v>
      </x:c>
      <x:c r="E20" s="108" t="n">
        <x:v>4</x:v>
      </x:c>
      <x:c r="F20" s="108" t="str">
        <x:v>Major companion requirement</x:v>
      </x:c>
      <x:c r="G20" s="108" t="str">
        <x:v>Studies hermeneutical theory and the responsible interpretation of biblical and theological texts.</x:v>
      </x:c>
      <x:c r="H20" s="108" t="str">
        <x:v>Required companion course and methodological foundation for exegesis.</x:v>
      </x:c>
      <x:c r="I20" s="108" t="str">
        <x:v>BITH 211 and BITH 213 are appropriate prior foundations.</x:v>
      </x:c>
      <x:c r="J20" s="108" t="str">
        <x:v>Required by the integrated Greek/Biblical and Theological Studies major.</x:v>
      </x:c>
      <x:c r="K20" s="111" t="str">
        <x:v>https://catalog.wheaton.edu/course-descriptions/bith/</x:v>
      </x:c>
    </x:row>
    <x:row r="21" ht="66" customHeight="1">
      <x:c r="A21" s="108" t="str">
        <x:v>Year 2</x:v>
      </x:c>
      <x:c r="B21" s="108" t="str">
        <x:v>Spring</x:v>
      </x:c>
      <x:c r="C21" s="109" t="str">
        <x:v>BITH 315</x:v>
      </x:c>
      <x:c r="D21" s="110" t="str">
        <x:v>Christian Thought</x:v>
      </x:c>
      <x:c r="E21" s="108" t="n">
        <x:v>4</x:v>
      </x:c>
      <x:c r="F21" s="108" t="str">
        <x:v>Shared Core requirement</x:v>
      </x:c>
      <x:c r="G21" s="108" t="str">
        <x:v>Introduces the major beliefs and intellectual structure of the Christian faith.</x:v>
      </x:c>
      <x:c r="H21" s="108" t="str">
        <x:v>Required theological foundation for ministry, scholarship, and apologetics.</x:v>
      </x:c>
      <x:c r="I21" s="108" t="str">
        <x:v>None stated for this plan.</x:v>
      </x:c>
      <x:c r="J21" s="108" t="str">
        <x:v>Required shared-core Christian thought course.</x:v>
      </x:c>
      <x:c r="K21" s="111" t="str">
        <x:v>https://catalog.wheaton.edu/course-descriptions/bith/</x:v>
      </x:c>
    </x:row>
    <x:row r="22" ht="66" customHeight="1">
      <x:c r="A22" s="108" t="str">
        <x:v>Year 2</x:v>
      </x:c>
      <x:c r="B22" s="108" t="str">
        <x:v>Spring</x:v>
      </x:c>
      <x:c r="C22" s="109" t="str">
        <x:v>BITH 388</x:v>
      </x:c>
      <x:c r="D22" s="110" t="str">
        <x:v>Person and Work of Christ</x:v>
      </x:c>
      <x:c r="E22" s="108" t="n">
        <x:v>4</x:v>
      </x:c>
      <x:c r="F22" s="108" t="str">
        <x:v>Supporting elective</x:v>
      </x:c>
      <x:c r="G22" s="108" t="str">
        <x:v>Studies the doctrines of Christ and salvation and their relationship, including classic debates and formulations in church history and systematic theology.</x:v>
      </x:c>
      <x:c r="H22" s="108" t="str">
        <x:v>Deepens Christology and soteriology for preaching, systematic theology, and Protestant apologetics.</x:v>
      </x:c>
      <x:c r="I22" s="108" t="str">
        <x:v>Prerequisite: BITH 315, BITH 318, BITH 372, BITH 374, or BITH 376.</x:v>
      </x:c>
      <x:c r="J22" s="108" t="str">
        <x:v>Placed in the existing slot per the requested one-for-one swap. The catalog lists this course as offered occasionally, and the prerequisite must be completed or otherwise approved before enrollment.</x:v>
      </x:c>
      <x:c r="K22" s="111" t="str">
        <x:v>https://catalog.wheaton.edu/course-descriptions/bith/</x:v>
      </x:c>
    </x:row>
    <x:row r="23" ht="66" customHeight="1">
      <x:c r="A23" s="84" t="str">
        <x:v>Year 3</x:v>
      </x:c>
      <x:c r="B23" s="84" t="str">
        <x:v>Fall</x:v>
      </x:c>
      <x:c r="C23" s="85" t="str">
        <x:v>HEBR 201</x:v>
      </x:c>
      <x:c r="D23" s="86" t="str">
        <x:v>Intermediate Hebrew</x:v>
      </x:c>
      <x:c r="E23" s="84" t="n">
        <x:v>4</x:v>
      </x:c>
      <x:c r="F23" s="84" t="str">
        <x:v>Supporting elective</x:v>
      </x:c>
      <x:c r="G23" s="84" t="str">
        <x:v>Develops intermediate Biblical Hebrew grammar and reading competence through sustained work in the Masoretic Text.</x:v>
      </x:c>
      <x:c r="H23" s="84" t="str">
        <x:v>Moves Hebrew beyond elementary grammar toward exegetical use.</x:v>
      </x:c>
      <x:c r="I23" s="84" t="str">
        <x:v>HEBR 102.</x:v>
      </x:c>
      <x:c r="J23" s="84" t="str">
        <x:v>Elective added for biblical-scholarship preparation.</x:v>
      </x:c>
      <x:c r="K23" s="87" t="str">
        <x:v>https://catalog.wheaton.edu/course-descriptions/hebr/</x:v>
      </x:c>
    </x:row>
    <x:row r="24" ht="66" customHeight="1">
      <x:c r="A24" s="92" t="str">
        <x:v>Year 3</x:v>
      </x:c>
      <x:c r="B24" s="92" t="str">
        <x:v>Fall</x:v>
      </x:c>
      <x:c r="C24" s="93" t="str">
        <x:v>GREK 346</x:v>
      </x:c>
      <x:c r="D24" s="94" t="str">
        <x:v>Readings in Paul and the Apostolic Fathers</x:v>
      </x:c>
      <x:c r="E24" s="92" t="n">
        <x:v>4</x:v>
      </x:c>
      <x:c r="F24" s="92" t="str">
        <x:v>Major requirement</x:v>
      </x:c>
      <x:c r="G24" s="92" t="str">
        <x:v>Provides extensive Greek reading in Pauline texts and the Apostolic Fathers, with continued vocabulary and grammar development.</x:v>
      </x:c>
      <x:c r="H24" s="92" t="str">
        <x:v>Supplies upper-division Greek work and expands early-Christian textual competence.</x:v>
      </x:c>
      <x:c r="I24" s="92" t="str">
        <x:v>GREK 201 or catalog-equivalent preparation.</x:v>
      </x:c>
      <x:c r="J24" s="92" t="str">
        <x:v>Counts toward the required upper-division Greek hours.</x:v>
      </x:c>
      <x:c r="K24" s="95" t="str">
        <x:v>https://catalog.wheaton.edu/course-descriptions/grek/</x:v>
      </x:c>
    </x:row>
    <x:row r="25" ht="66" customHeight="1">
      <x:c r="A25" s="92" t="str">
        <x:v>Year 3</x:v>
      </x:c>
      <x:c r="B25" s="92" t="str">
        <x:v>Fall</x:v>
      </x:c>
      <x:c r="C25" s="93" t="str">
        <x:v>PHIL 311</x:v>
      </x:c>
      <x:c r="D25" s="94" t="str">
        <x:v>History of Philosophy - Ancient and Medieval</x:v>
      </x:c>
      <x:c r="E25" s="92" t="n">
        <x:v>4</x:v>
      </x:c>
      <x:c r="F25" s="92" t="str">
        <x:v>Supporting elective</x:v>
      </x:c>
      <x:c r="G25" s="92" t="str">
        <x:v>Studies ancient and medieval philosophy, including questions about God, faith and reason, freedom, justice, and the interaction of philosophy with monotheistic traditions.</x:v>
      </x:c>
      <x:c r="H25" s="92" t="str">
        <x:v>Strengthens historical and philosophical foundations for classical Christian apologetics.</x:v>
      </x:c>
      <x:c r="I25" s="92" t="str">
        <x:v>Introductory philosophy is appropriate preparation.</x:v>
      </x:c>
      <x:c r="J25" s="92" t="str">
        <x:v>Elective selected for apologetics and intellectual history.</x:v>
      </x:c>
      <x:c r="K25" s="95" t="str">
        <x:v>https://catalog.wheaton.edu/course-descriptions/phil/</x:v>
      </x:c>
    </x:row>
    <x:row r="26" ht="66" customHeight="1">
      <x:c r="A26" s="92" t="str">
        <x:v>Year 3</x:v>
      </x:c>
      <x:c r="B26" s="92" t="str">
        <x:v>Fall</x:v>
      </x:c>
      <x:c r="C26" s="93" t="str">
        <x:v>RELI 375</x:v>
      </x:c>
      <x:c r="D26" s="94" t="str">
        <x:v>The Muslim Tradition</x:v>
      </x:c>
      <x:c r="E26" s="92" t="n">
        <x:v>4</x:v>
      </x:c>
      <x:c r="F26" s="92" t="str">
        <x:v>Thematic Core choice</x:v>
      </x:c>
      <x:c r="G26" s="92" t="str">
        <x:v>Studies Islam as a diverse, historically developing religious tradition across cultural and intellectual contexts.</x:v>
      </x:c>
      <x:c r="H26" s="92" t="str">
        <x:v>Supports informed Christian engagement with Islam and comparative religion.</x:v>
      </x:c>
      <x:c r="I26" s="92" t="str">
        <x:v>None stated.</x:v>
      </x:c>
      <x:c r="J26" s="92" t="str">
        <x:v>Selected global-perspectives option.</x:v>
      </x:c>
      <x:c r="K26" s="95" t="str">
        <x:v>https://catalog.wheaton.edu/course-descriptions/reli/</x:v>
      </x:c>
    </x:row>
    <x:row r="27" ht="66" customHeight="1">
      <x:c r="A27" s="100" t="str">
        <x:v>Year 3</x:v>
      </x:c>
      <x:c r="B27" s="100" t="str">
        <x:v>Spring</x:v>
      </x:c>
      <x:c r="C27" s="101" t="str">
        <x:v>GREK 347</x:v>
      </x:c>
      <x:c r="D27" s="102" t="str">
        <x:v>The Gospel of Luke and the Acts of the Apostles</x:v>
      </x:c>
      <x:c r="E27" s="100" t="n">
        <x:v>4</x:v>
      </x:c>
      <x:c r="F27" s="100" t="str">
        <x:v>Major requirement</x:v>
      </x:c>
      <x:c r="G27" s="100" t="str">
        <x:v>Reads Luke extensively in Greek and examines Acts and its apostolic setting while reinforcing vocabulary and grammar.</x:v>
      </x:c>
      <x:c r="H27" s="100" t="str">
        <x:v>Completes the selected eight upper-division Greek credits and supports New Testament specialization.</x:v>
      </x:c>
      <x:c r="I27" s="100" t="str">
        <x:v>GREK 201 or catalog-equivalent preparation.</x:v>
      </x:c>
      <x:c r="J27" s="100" t="str">
        <x:v>Counts toward the required upper-division Greek hours.</x:v>
      </x:c>
      <x:c r="K27" s="103" t="str">
        <x:v>https://catalog.wheaton.edu/course-descriptions/grek/</x:v>
      </x:c>
    </x:row>
    <x:row r="28" ht="66" customHeight="1">
      <x:c r="A28" s="108" t="str">
        <x:v>Year 3</x:v>
      </x:c>
      <x:c r="B28" s="108" t="str">
        <x:v>Spring</x:v>
      </x:c>
      <x:c r="C28" s="109" t="str">
        <x:v>BITH 459</x:v>
      </x:c>
      <x:c r="D28" s="110" t="str">
        <x:v>Greek Exegesis</x:v>
      </x:c>
      <x:c r="E28" s="108" t="n">
        <x:v>4</x:v>
      </x:c>
      <x:c r="F28" s="108" t="str">
        <x:v>Major Greek-exegesis requirement</x:v>
      </x:c>
      <x:c r="G28" s="108" t="str">
        <x:v>Conducts exegetical study of the Greek New Testament with emphasis on interpretation, assuming competence in translation and grammatical analysis.</x:v>
      </x:c>
      <x:c r="H28" s="108" t="str">
        <x:v>Fulfills the major Greek-exegesis requirement and directly prepares for graduate New Testament work.</x:v>
      </x:c>
      <x:c r="I28" s="108" t="str">
        <x:v>Advanced Greek competence; catalog prerequisites apply.</x:v>
      </x:c>
      <x:c r="J28" s="108" t="str">
        <x:v>Required category in the integrated major.</x:v>
      </x:c>
      <x:c r="K28" s="111" t="str">
        <x:v>https://catalog.wheaton.edu/course-descriptions/bith/</x:v>
      </x:c>
    </x:row>
    <x:row r="29" ht="66" customHeight="1">
      <x:c r="A29" s="108" t="str">
        <x:v>Year 3</x:v>
      </x:c>
      <x:c r="B29" s="108" t="str">
        <x:v>Spring</x:v>
      </x:c>
      <x:c r="C29" s="109" t="str">
        <x:v>RELI 385</x:v>
      </x:c>
      <x:c r="D29" s="110" t="str">
        <x:v>Islam in America</x:v>
      </x:c>
      <x:c r="E29" s="108" t="n">
        <x:v>4</x:v>
      </x:c>
      <x:c r="F29" s="108" t="str">
        <x:v>Thematic Core choice</x:v>
      </x:c>
      <x:c r="G29" s="108" t="str">
        <x:v>Examines Muslim communities in the United States, including religious life, social location, stereotypes, and Islamophobia.</x:v>
      </x:c>
      <x:c r="H29" s="108" t="str">
        <x:v>Provides contemporary religious-literacy and cultural context for apologetic and pastoral engagement.</x:v>
      </x:c>
      <x:c r="I29" s="108" t="str">
        <x:v>None stated.</x:v>
      </x:c>
      <x:c r="J29" s="108" t="str">
        <x:v>Selected diversity-in-the-United-States/social-inquiry option.</x:v>
      </x:c>
      <x:c r="K29" s="111" t="str">
        <x:v>https://catalog.wheaton.edu/course-descriptions/reli/</x:v>
      </x:c>
    </x:row>
    <x:row r="30" ht="66" customHeight="1">
      <x:c r="A30" s="108" t="str">
        <x:v>Year 3</x:v>
      </x:c>
      <x:c r="B30" s="108" t="str">
        <x:v>Spring</x:v>
      </x:c>
      <x:c r="C30" s="109" t="str">
        <x:v>BITH 396</x:v>
      </x:c>
      <x:c r="D30" s="110" t="str">
        <x:v>Roman Catholic Theology</x:v>
      </x:c>
      <x:c r="E30" s="108" t="n">
        <x:v>4</x:v>
      </x:c>
      <x:c r="F30" s="108" t="str">
        <x:v>Supporting elective</x:v>
      </x:c>
      <x:c r="G30" s="108" t="str">
        <x:v>Introduces Roman Catholic theology and practice with attention to similarities and differences between Roman Catholic and Protestant theology.</x:v>
      </x:c>
      <x:c r="H30" s="108" t="str">
        <x:v>Provides direct preparation for informed Protestant theological comparison and apologetic engagement with Roman Catholic claims.</x:v>
      </x:c>
      <x:c r="I30" s="108" t="str">
        <x:v>Prerequisite: BITH 315, BITH 318, BITH 372, BITH 374, or BITH 376.</x:v>
      </x:c>
      <x:c r="J30" s="108" t="str">
        <x:v>Placed in the existing slot per the requested one-for-one swap.</x:v>
      </x:c>
      <x:c r="K30" s="111" t="str">
        <x:v>https://catalog.wheaton.edu/course-descriptions/bith/</x:v>
      </x:c>
    </x:row>
    <x:row r="31" ht="66" customHeight="1">
      <x:c r="A31" s="84" t="str">
        <x:v>Year 4</x:v>
      </x:c>
      <x:c r="B31" s="84" t="str">
        <x:v>Fall</x:v>
      </x:c>
      <x:c r="C31" s="85" t="str">
        <x:v>BITH 457</x:v>
      </x:c>
      <x:c r="D31" s="86" t="str">
        <x:v>John</x:v>
      </x:c>
      <x:c r="E31" s="84" t="n">
        <x:v>4</x:v>
      </x:c>
      <x:c r="F31" s="84" t="str">
        <x:v>Major companion elective</x:v>
      </x:c>
      <x:c r="G31" s="84" t="str">
        <x:v>Studies the Gospel of John comprehensively in conversation with current critical scholarship and Christian spirituality.</x:v>
      </x:c>
      <x:c r="H31" s="84" t="str">
        <x:v>Deepens the New Testament concentration and supports the later Princeton New Testament field.</x:v>
      </x:c>
      <x:c r="I31" s="84" t="str">
        <x:v>BITH 213 and advanced biblical study are appropriate preparation.</x:v>
      </x:c>
      <x:c r="J31" s="84" t="str">
        <x:v>Selected from the approved BITH companion options.</x:v>
      </x:c>
      <x:c r="K31" s="87" t="str">
        <x:v>https://catalog.wheaton.edu/course-descriptions/bith/</x:v>
      </x:c>
    </x:row>
    <x:row r="32" ht="66" customHeight="1">
      <x:c r="A32" s="92" t="str">
        <x:v>Year 4</x:v>
      </x:c>
      <x:c r="B32" s="92" t="str">
        <x:v>Fall</x:v>
      </x:c>
      <x:c r="C32" s="93" t="str">
        <x:v>BITH 456</x:v>
      </x:c>
      <x:c r="D32" s="94" t="str">
        <x:v>Jewish Backgrounds of the New Testament</x:v>
      </x:c>
      <x:c r="E32" s="92" t="n">
        <x:v>2</x:v>
      </x:c>
      <x:c r="F32" s="92" t="str">
        <x:v>Supporting elective</x:v>
      </x:c>
      <x:c r="G32" s="92" t="str">
        <x:v>Examines literary, archaeological, political, and religious dimensions of Second Temple Judaism as background to the New Testament.</x:v>
      </x:c>
      <x:c r="H32" s="92" t="str">
        <x:v>Provides Second Temple Jewish historical context directly relevant to New Testament doctoral preparation.</x:v>
      </x:c>
      <x:c r="I32" s="92" t="str">
        <x:v>BITH 213 is appropriate preparation.</x:v>
      </x:c>
      <x:c r="J32" s="92" t="str">
        <x:v>Catalog-listed elective; it is not one of the integrated major specifically approved companion courses.</x:v>
      </x:c>
      <x:c r="K32" s="95" t="str">
        <x:v>https://catalog.wheaton.edu/course-descriptions/bith/</x:v>
      </x:c>
    </x:row>
    <x:row r="33" ht="66" customHeight="1">
      <x:c r="A33" s="92" t="str">
        <x:v>Year 4</x:v>
      </x:c>
      <x:c r="B33" s="92" t="str">
        <x:v>Fall</x:v>
      </x:c>
      <x:c r="C33" s="93" t="str">
        <x:v>BITH 372</x:v>
      </x:c>
      <x:c r="D33" s="94" t="str">
        <x:v>Historical Theology</x:v>
      </x:c>
      <x:c r="E33" s="92" t="n">
        <x:v>4</x:v>
      </x:c>
      <x:c r="F33" s="92" t="str">
        <x:v>Supporting elective</x:v>
      </x:c>
      <x:c r="G33" s="92" t="str">
        <x:v>Studies major people, movements, controversies, and developments that shaped Christian doctrine through history.</x:v>
      </x:c>
      <x:c r="H33" s="92" t="str">
        <x:v>Provides historical-theological breadth needed for preaching and apologetics.</x:v>
      </x:c>
      <x:c r="I33" s="92" t="str">
        <x:v>None stated for this plan.</x:v>
      </x:c>
      <x:c r="J33" s="92" t="str">
        <x:v>Elective selected for theological breadth.</x:v>
      </x:c>
      <x:c r="K33" s="95" t="str">
        <x:v>https://catalog.wheaton.edu/course-descriptions/bith/</x:v>
      </x:c>
    </x:row>
    <x:row r="34" ht="66" customHeight="1">
      <x:c r="A34" s="92" t="str">
        <x:v>Year 4</x:v>
      </x:c>
      <x:c r="B34" s="92" t="str">
        <x:v>Fall</x:v>
      </x:c>
      <x:c r="C34" s="93" t="str">
        <x:v>BITH 392</x:v>
      </x:c>
      <x:c r="D34" s="94" t="str">
        <x:v>Scripture</x:v>
      </x:c>
      <x:c r="E34" s="92" t="n">
        <x:v>2</x:v>
      </x:c>
      <x:c r="F34" s="92" t="str">
        <x:v>Major companion elective</x:v>
      </x:c>
      <x:c r="G34" s="92" t="str">
        <x:v>Studies the Christian doctrine of Scripture, including its authority, inspiration, interpretation, and major evangelical approaches.</x:v>
      </x:c>
      <x:c r="H34" s="92" t="str">
        <x:v>Adds an approved Biblical and Theological Studies companion course and strengthens doctrine-of-Scripture preparation for apologetics.</x:v>
      </x:c>
      <x:c r="I34" s="92" t="str">
        <x:v>BITH 315, BITH 318, BITH 372, BITH 374, or BITH 376, according to the catalog.</x:v>
      </x:c>
      <x:c r="J34" s="92" t="str">
        <x:v>Approved for the integrated major; the catalog marks this course as offered occasionally.</x:v>
      </x:c>
      <x:c r="K34" s="95" t="str">
        <x:v>https://catalog.wheaton.edu/course-descriptions/bith/</x:v>
      </x:c>
    </x:row>
    <x:row r="35" ht="66" customHeight="1">
      <x:c r="A35" s="92" t="str">
        <x:v>Year 4</x:v>
      </x:c>
      <x:c r="B35" s="92" t="str">
        <x:v>Fall</x:v>
      </x:c>
      <x:c r="C35" s="93" t="str">
        <x:v>BITH 386</x:v>
      </x:c>
      <x:c r="D35" s="94" t="str">
        <x:v>Qur'an and Bible</x:v>
      </x:c>
      <x:c r="E35" s="92" t="n">
        <x:v>2</x:v>
      </x:c>
      <x:c r="F35" s="92" t="str">
        <x:v>Supporting elective</x:v>
      </x:c>
      <x:c r="G35" s="92" t="str">
        <x:v>Places the Qur’an and Bible in dialogue through their origins, interpretation, Christian-Muslim history, and doctrines of Scripture.</x:v>
      </x:c>
      <x:c r="H35" s="92" t="str">
        <x:v>Directly supports informed Protestant apologetics and interreligious engagement.</x:v>
      </x:c>
      <x:c r="I35" s="92" t="str">
        <x:v>Prior biblical and religious-studies coursework is helpful.</x:v>
      </x:c>
      <x:c r="J35" s="92" t="str">
        <x:v>Elective selected for stated apologetics goals.</x:v>
      </x:c>
      <x:c r="K35" s="95" t="str">
        <x:v>https://catalog.wheaton.edu/course-descriptions/bith/</x:v>
      </x:c>
    </x:row>
    <x:row r="36" ht="66" customHeight="1">
      <x:c r="A36" s="100" t="str">
        <x:v>Year 4</x:v>
      </x:c>
      <x:c r="B36" s="100" t="str">
        <x:v>Spring</x:v>
      </x:c>
      <x:c r="C36" s="101" t="str">
        <x:v>CLAL 494</x:v>
      </x:c>
      <x:c r="D36" s="102" t="str">
        <x:v>Senior Capstone</x:v>
      </x:c>
      <x:c r="E36" s="100" t="n">
        <x:v>4</x:v>
      </x:c>
      <x:c r="F36" s="100" t="str">
        <x:v>Major requirement</x:v>
      </x:c>
      <x:c r="G36" s="100" t="str">
        <x:v>Requires senior research using ancient texts in Greek, Hebrew, or Latin and relates the research topic to Christian faith.</x:v>
      </x:c>
      <x:c r="H36" s="100" t="str">
        <x:v>Completes the major and produces substantial research suitable for graduate-school preparation.</x:v>
      </x:c>
      <x:c r="I36" s="100" t="str">
        <x:v>Senior standing and major language preparation.</x:v>
      </x:c>
      <x:c r="J36" s="100" t="str">
        <x:v>Required capstone for the integrated major.</x:v>
      </x:c>
      <x:c r="K36" s="103" t="str">
        <x:v>https://catalog.wheaton.edu/course-descriptions/clal/</x:v>
      </x:c>
    </x:row>
    <x:row r="37" ht="66" customHeight="1">
      <x:c r="A37" s="108" t="str">
        <x:v>Year 4</x:v>
      </x:c>
      <x:c r="B37" s="108" t="str">
        <x:v>Spring</x:v>
      </x:c>
      <x:c r="C37" s="109" t="str">
        <x:v>BITH 452</x:v>
      </x:c>
      <x:c r="D37" s="110" t="str">
        <x:v>Issues in Modern New Testament Studies</x:v>
      </x:c>
      <x:c r="E37" s="108" t="n">
        <x:v>2</x:v>
      </x:c>
      <x:c r="F37" s="108" t="str">
        <x:v>Major companion elective</x:v>
      </x:c>
      <x:c r="G37" s="108" t="str">
        <x:v>Surveys the history, current methods, and contested issues of modern New Testament scholarship and evaluates their use.</x:v>
      </x:c>
      <x:c r="H37" s="108" t="str">
        <x:v>Introduces the academic debates and methods expected in graduate New Testament study.</x:v>
      </x:c>
      <x:c r="I37" s="108" t="str">
        <x:v>BITH 213 and advanced biblical study are appropriate preparation.</x:v>
      </x:c>
      <x:c r="J37" s="108" t="str">
        <x:v>Selected from the approved BITH companion options.</x:v>
      </x:c>
      <x:c r="K37" s="111" t="str">
        <x:v>https://catalog.wheaton.edu/course-descriptions/bith/</x:v>
      </x:c>
    </x:row>
    <x:row r="38" ht="66" customHeight="1">
      <x:c r="A38" s="108" t="str">
        <x:v>Year 4</x:v>
      </x:c>
      <x:c r="B38" s="108" t="str">
        <x:v>Spring</x:v>
      </x:c>
      <x:c r="C38" s="109" t="str">
        <x:v>PHIL 315</x:v>
      </x:c>
      <x:c r="D38" s="110" t="str">
        <x:v>Philosophy of Religion</x:v>
      </x:c>
      <x:c r="E38" s="108" t="n">
        <x:v>4</x:v>
      </x:c>
      <x:c r="F38" s="108" t="str">
        <x:v>Supporting elective</x:v>
      </x:c>
      <x:c r="G38" s="108" t="str">
        <x:v>Studies arguments about God existence and nature, evil and suffering, foreknowledge and freedom, religious experience, and religious pluralism.</x:v>
      </x:c>
      <x:c r="H38" s="108" t="str">
        <x:v>Provides the most directly relevant philosophy course for Protestant apologetics.</x:v>
      </x:c>
      <x:c r="I38" s="108" t="str">
        <x:v>Prior philosophy coursework is appropriate preparation.</x:v>
      </x:c>
      <x:c r="J38" s="108" t="str">
        <x:v>Elective selected for apologetics.</x:v>
      </x:c>
      <x:c r="K38" s="111" t="str">
        <x:v>https://catalog.wheaton.edu/course-descriptions/phil/</x:v>
      </x:c>
    </x:row>
    <x:row r="39" ht="66" customHeight="1">
      <x:c r="A39" s="108" t="str">
        <x:v>Year 4</x:v>
      </x:c>
      <x:c r="B39" s="108" t="str">
        <x:v>Spring</x:v>
      </x:c>
      <x:c r="C39" s="109" t="str">
        <x:v>CFM 335</x:v>
      </x:c>
      <x:c r="D39" s="110" t="str">
        <x:v>Teaching the Bible</x:v>
      </x:c>
      <x:c r="E39" s="108" t="n">
        <x:v>4</x:v>
      </x:c>
      <x:c r="F39" s="108" t="str">
        <x:v>Thematic Core choice</x:v>
      </x:c>
      <x:c r="G39" s="108" t="str">
        <x:v>Develops the theory and practice of effective biblical instruction with attention to interpretation and the Bible literary features.</x:v>
      </x:c>
      <x:c r="H39" s="108" t="str">
        <x:v>Fulfills the literary-explorations area and prepares for preaching and teaching Scripture.</x:v>
      </x:c>
      <x:c r="I39" s="108" t="str">
        <x:v>Prior Bible coursework is appropriate preparation.</x:v>
      </x:c>
      <x:c r="J39" s="108" t="str">
        <x:v>Selected thematic-core option.</x:v>
      </x:c>
      <x:c r="K39" s="111" t="str">
        <x:v>https://catalog.wheaton.edu/course-descriptions/cfm/</x:v>
      </x:c>
    </x:row>
    <x:row r="40" ht="66" customHeight="1">
      <x:c r="A40" s="116" t="str">
        <x:v>Year 4</x:v>
      </x:c>
      <x:c r="B40" s="116" t="str">
        <x:v>Spring</x:v>
      </x:c>
      <x:c r="C40" s="117" t="str">
        <x:v>CFM 216</x:v>
      </x:c>
      <x:c r="D40" s="118" t="str">
        <x:v>Discipleship Practicum</x:v>
      </x:c>
      <x:c r="E40" s="116" t="n">
        <x:v>1</x:v>
      </x:c>
      <x:c r="F40" s="116" t="str">
        <x:v>Supporting elective</x:v>
      </x:c>
      <x:c r="G40" s="116" t="str">
        <x:v>Combines approved campus-ministry leadership with guided reflection integrating ministry practice and Christian formation.</x:v>
      </x:c>
      <x:c r="H40" s="116" t="str">
        <x:v>Adds supervised ministry experience before seminary.</x:v>
      </x:c>
      <x:c r="I40" s="116" t="str">
        <x:v>Approved ministry placement and catalog procedures.</x:v>
      </x:c>
      <x:c r="J40" s="116" t="str">
        <x:v>Pass/fail practicum; placement requirements apply.</x:v>
      </x:c>
      <x:c r="K40" s="119" t="str">
        <x:v>https://catalog.wheaton.edu/course-descriptions/cfm/</x:v>
      </x:c>
    </x:row>
    <x:row r="42">
      <x:c r="A42" s="124" t="str">
        <x:v>Total catalog credits in this plan</x:v>
      </x:c>
      <x:c r="B42" s="124"/>
      <x:c r="C42" s="124"/>
      <x:c r="D42" s="124"/>
      <x:c r="E42" s="124" t="n">
        <x:f>SUM(E5:E40)</x:f>
        <x:v>133</x:v>
      </x:c>
      <x:c r="F42" s="124"/>
      <x:c r="G42" s="124"/>
      <x:c r="H42" s="124"/>
      <x:c r="I42" s="124"/>
      <x:c r="J42" s="124"/>
      <x:c r="K42" s="124"/>
    </x:row>
  </x:sheetData>
  <x:mergeCells>
    <x:mergeCell ref="A1:K1"/>
    <x:mergeCell ref="A2:K2"/>
    <x:mergeCell ref="A42:D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34" hidden="0" customWidth="1"/>
    <x:col min="5" max="5" width="11" hidden="0" customWidth="1"/>
    <x:col min="6" max="6" width="26" hidden="0" customWidth="1"/>
    <x:col min="7" max="7" width="48" hidden="0" customWidth="1"/>
    <x:col min="8" max="8" width="38" hidden="0" customWidth="1"/>
    <x:col min="9" max="9" width="34" hidden="0" customWidth="1"/>
    <x:col min="10" max="10" width="41" hidden="0" customWidth="1"/>
    <x:col min="11" max="11" width="42" hidden="0" customWidth="1"/>
  </x:cols>
  <x:sheetData>
    <x:row r="1" ht="28" customHeight="1">
      <x:c r="A1" s="4" t="str">
        <x:v>Gordon-Conwell Theological Seminary — Three-Year MDiv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4" customHeight="1">
      <x:c r="A2" s="11" t="str">
        <x:v>Current 2026–27 MDiv catalog requirements arranged as a full-time three-year sequence with January and summer terms. Total: 90 credits.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21" t="str">
        <x:v>Year</x:v>
      </x:c>
      <x:c r="B4" s="21" t="str">
        <x:v>Term</x:v>
      </x:c>
      <x:c r="C4" s="21" t="str">
        <x:v>Course Code / Requirement</x:v>
      </x:c>
      <x:c r="D4" s="21" t="str">
        <x:v>Exact Current Catalog Title / Published Label</x:v>
      </x:c>
      <x:c r="E4" s="21" t="str">
        <x:v>Credits</x:v>
      </x:c>
      <x:c r="F4" s="21" t="str">
        <x:v>Requirement Status</x:v>
      </x:c>
      <x:c r="G4" s="21" t="str">
        <x:v>Catalog-Based Description</x:v>
      </x:c>
      <x:c r="H4" s="21" t="str">
        <x:v>Why It Is Included</x:v>
      </x:c>
      <x:c r="I4" s="21" t="str">
        <x:v>Prerequisites / Completion Condition</x:v>
      </x:c>
      <x:c r="J4" s="21" t="str">
        <x:v>Offering and Accuracy Note</x:v>
      </x:c>
      <x:c r="K4" s="21" t="str">
        <x:v>Official Catalog Source</x:v>
      </x:c>
    </x:row>
    <x:row r="5" ht="66" customHeight="1">
      <x:c r="A5" s="84" t="str">
        <x:v>Year 1</x:v>
      </x:c>
      <x:c r="B5" s="84" t="str">
        <x:v>Fall</x:v>
      </x:c>
      <x:c r="C5" s="85" t="str">
        <x:v>OT 500</x:v>
      </x:c>
      <x:c r="D5" s="86" t="str">
        <x:v>Exploring the Old Testament</x:v>
      </x:c>
      <x:c r="E5" s="84" t="n">
        <x:v>3</x:v>
      </x:c>
      <x:c r="F5" s="84" t="str">
        <x:v>Biblical Studies requirement</x:v>
      </x:c>
      <x:c r="G5" s="84" t="str">
        <x:v>Introduces the history, literature, and thought of the Old Testament.</x:v>
      </x:c>
      <x:c r="H5" s="84" t="str">
        <x:v>Required Old Testament survey.</x:v>
      </x:c>
      <x:c r="I5" s="84" t="str">
        <x:v>None stated.</x:v>
      </x:c>
      <x:c r="J5" s="84" t="str">
        <x:v>Required MDiv course.</x:v>
      </x:c>
      <x:c r="K5" s="87" t="str">
        <x:v>https://www.gordonconwell.edu/wp-content/uploads/2026/08/Academic-Catalog-2026-27.pdf</x:v>
      </x:c>
    </x:row>
    <x:row r="6" ht="66" customHeight="1">
      <x:c r="A6" s="92" t="str">
        <x:v>Year 1</x:v>
      </x:c>
      <x:c r="B6" s="92" t="str">
        <x:v>Fall</x:v>
      </x:c>
      <x:c r="C6" s="93" t="str">
        <x:v>NT 501</x:v>
      </x:c>
      <x:c r="D6" s="94" t="str">
        <x:v>Exploring the New Testament</x:v>
      </x:c>
      <x:c r="E6" s="92" t="n">
        <x:v>3</x:v>
      </x:c>
      <x:c r="F6" s="92" t="str">
        <x:v>Biblical Studies requirement</x:v>
      </x:c>
      <x:c r="G6" s="92" t="str">
        <x:v>Introduces the New Testament in historical, literary, and theological perspective.</x:v>
      </x:c>
      <x:c r="H6" s="92" t="str">
        <x:v>Required New Testament survey.</x:v>
      </x:c>
      <x:c r="I6" s="92" t="str">
        <x:v>None stated.</x:v>
      </x:c>
      <x:c r="J6" s="92" t="str">
        <x:v>Required MDiv course.</x:v>
      </x:c>
      <x:c r="K6" s="95" t="str">
        <x:v>https://www.gordonconwell.edu/wp-content/uploads/2026/08/Academic-Catalog-2026-27.pdf</x:v>
      </x:c>
    </x:row>
    <x:row r="7" ht="66" customHeight="1">
      <x:c r="A7" s="92" t="str">
        <x:v>Year 1</x:v>
      </x:c>
      <x:c r="B7" s="92" t="str">
        <x:v>Fall</x:v>
      </x:c>
      <x:c r="C7" s="93" t="str">
        <x:v>GL 501</x:v>
      </x:c>
      <x:c r="D7" s="94" t="str">
        <x:v>Basic Greek I</x:v>
      </x:c>
      <x:c r="E7" s="92" t="n">
        <x:v>3</x:v>
      </x:c>
      <x:c r="F7" s="92" t="str">
        <x:v>Biblical Studies requirement</x:v>
      </x:c>
      <x:c r="G7" s="92" t="str">
        <x:v>Introduces New Testament Greek grammar, vocabulary, translation, and analysis.</x:v>
      </x:c>
      <x:c r="H7" s="92" t="str">
        <x:v>Begins the Greek sequence.</x:v>
      </x:c>
      <x:c r="I7" s="92" t="str">
        <x:v>None stated.</x:v>
      </x:c>
      <x:c r="J7" s="92" t="str">
        <x:v>Required MDiv course.</x:v>
      </x:c>
      <x:c r="K7" s="95" t="str">
        <x:v>https://www.gordonconwell.edu/wp-content/uploads/2026/08/Academic-Catalog-2026-27.pdf</x:v>
      </x:c>
    </x:row>
    <x:row r="8" ht="66" customHeight="1">
      <x:c r="A8" s="92" t="str">
        <x:v>Year 1</x:v>
      </x:c>
      <x:c r="B8" s="92" t="str">
        <x:v>Fall</x:v>
      </x:c>
      <x:c r="C8" s="93" t="str">
        <x:v>MC/SF 501</x:v>
      </x:c>
      <x:c r="D8" s="94" t="str">
        <x:v>Spiritual Formation for Ministry</x:v>
      </x:c>
      <x:c r="E8" s="92" t="n">
        <x:v>3</x:v>
      </x:c>
      <x:c r="F8" s="92" t="str">
        <x:v>Practical Theology choice</x:v>
      </x:c>
      <x:c r="G8" s="92" t="str">
        <x:v>Integrates practical theology and spiritual formation for ministry.</x:v>
      </x:c>
      <x:c r="H8" s="92" t="str">
        <x:v>Establishes spiritual and ministerial formation.</x:v>
      </x:c>
      <x:c r="I8" s="92" t="str">
        <x:v>None stated.</x:v>
      </x:c>
      <x:c r="J8" s="92" t="str">
        <x:v>Published requirement choice.</x:v>
      </x:c>
      <x:c r="K8" s="95" t="str">
        <x:v>https://www.gordonconwell.edu/wp-content/uploads/2026/08/Academic-Catalog-2026-27.pdf</x:v>
      </x:c>
    </x:row>
    <x:row r="9" ht="66" customHeight="1">
      <x:c r="A9" s="92" t="str">
        <x:v>Year 1</x:v>
      </x:c>
      <x:c r="B9" s="92" t="str">
        <x:v>Fall</x:v>
      </x:c>
      <x:c r="C9" s="93" t="str">
        <x:v>MM 505</x:v>
      </x:c>
      <x:c r="D9" s="94" t="str">
        <x:v>Mentored Ministry – Course 1</x:v>
      </x:c>
      <x:c r="E9" s="92" t="n">
        <x:v>1</x:v>
      </x:c>
      <x:c r="F9" s="92" t="str">
        <x:v>Mentored Ministry requirement</x:v>
      </x:c>
      <x:c r="G9" s="92" t="str">
        <x:v>First supervised mentored-ministry course.</x:v>
      </x:c>
      <x:c r="H9" s="92" t="str">
        <x:v>Begins the mentored-ministry sequence.</x:v>
      </x:c>
      <x:c r="I9" s="92" t="str">
        <x:v>Approved placement.</x:v>
      </x:c>
      <x:c r="J9" s="92" t="str">
        <x:v>Required sequence.</x:v>
      </x:c>
      <x:c r="K9" s="95" t="str">
        <x:v>https://www.gordonconwell.edu/wp-content/uploads/2026/08/Academic-Catalog-2026-27.pdf</x:v>
      </x:c>
    </x:row>
    <x:row r="10" ht="66" customHeight="1">
      <x:c r="A10" s="100" t="str">
        <x:v>Year 1</x:v>
      </x:c>
      <x:c r="B10" s="100" t="str">
        <x:v>January</x:v>
      </x:c>
      <x:c r="C10" s="101" t="str">
        <x:v>IS/WM 520</x:v>
      </x:c>
      <x:c r="D10" s="102" t="str">
        <x:v>Understanding Culture</x:v>
      </x:c>
      <x:c r="E10" s="100" t="n">
        <x:v>3</x:v>
      </x:c>
      <x:c r="F10" s="100" t="str">
        <x:v>Christian Thought requirement</x:v>
      </x:c>
      <x:c r="G10" s="100" t="str">
        <x:v>Develops Christian analysis of culture and cross-cultural understanding.</x:v>
      </x:c>
      <x:c r="H10" s="100" t="str">
        <x:v>Supports ministry and apologetic communication.</x:v>
      </x:c>
      <x:c r="I10" s="100" t="str">
        <x:v>None stated.</x:v>
      </x:c>
      <x:c r="J10" s="100" t="str">
        <x:v>Term placement proposed.</x:v>
      </x:c>
      <x:c r="K10" s="103" t="str">
        <x:v>https://www.gordonconwell.edu/wp-content/uploads/2026/08/Academic-Catalog-2026-27.pdf</x:v>
      </x:c>
    </x:row>
    <x:row r="11" ht="66" customHeight="1">
      <x:c r="A11" s="84" t="str">
        <x:v>Year 1</x:v>
      </x:c>
      <x:c r="B11" s="84" t="str">
        <x:v>Spring</x:v>
      </x:c>
      <x:c r="C11" s="85" t="str">
        <x:v>GL 502</x:v>
      </x:c>
      <x:c r="D11" s="86" t="str">
        <x:v>Basic Greek II</x:v>
      </x:c>
      <x:c r="E11" s="84" t="n">
        <x:v>3</x:v>
      </x:c>
      <x:c r="F11" s="84" t="str">
        <x:v>Biblical Studies requirement</x:v>
      </x:c>
      <x:c r="G11" s="84" t="str">
        <x:v>Continues basic New Testament Greek.</x:v>
      </x:c>
      <x:c r="H11" s="84" t="str">
        <x:v>Completes basic Greek.</x:v>
      </x:c>
      <x:c r="I11" s="84" t="str">
        <x:v>GL 501.</x:v>
      </x:c>
      <x:c r="J11" s="84" t="str">
        <x:v>Required MDiv course.</x:v>
      </x:c>
      <x:c r="K11" s="87" t="str">
        <x:v>https://www.gordonconwell.edu/wp-content/uploads/2026/08/Academic-Catalog-2026-27.pdf</x:v>
      </x:c>
    </x:row>
    <x:row r="12" ht="66" customHeight="1">
      <x:c r="A12" s="92" t="str">
        <x:v>Year 1</x:v>
      </x:c>
      <x:c r="B12" s="92" t="str">
        <x:v>Spring</x:v>
      </x:c>
      <x:c r="C12" s="93" t="str">
        <x:v>TH 501</x:v>
      </x:c>
      <x:c r="D12" s="94" t="str">
        <x:v>Theology Survey I</x:v>
      </x:c>
      <x:c r="E12" s="92" t="n">
        <x:v>3</x:v>
      </x:c>
      <x:c r="F12" s="92" t="str">
        <x:v>Christian Thought requirement</x:v>
      </x:c>
      <x:c r="G12" s="92" t="str">
        <x:v>Surveys theological method, revelation, Scripture, God, creation, humanity, and sin.</x:v>
      </x:c>
      <x:c r="H12" s="92" t="str">
        <x:v>Required theology survey.</x:v>
      </x:c>
      <x:c r="I12" s="92" t="str">
        <x:v>None stated.</x:v>
      </x:c>
      <x:c r="J12" s="92" t="str">
        <x:v>Required MDiv course.</x:v>
      </x:c>
      <x:c r="K12" s="95" t="str">
        <x:v>https://www.gordonconwell.edu/wp-content/uploads/2026/08/Academic-Catalog-2026-27.pdf</x:v>
      </x:c>
    </x:row>
    <x:row r="13" ht="66" customHeight="1">
      <x:c r="A13" s="92" t="str">
        <x:v>Year 1</x:v>
      </x:c>
      <x:c r="B13" s="92" t="str">
        <x:v>Spring</x:v>
      </x:c>
      <x:c r="C13" s="93" t="str">
        <x:v>CH 501</x:v>
      </x:c>
      <x:c r="D13" s="94" t="str">
        <x:v>The Church to the Reformation</x:v>
      </x:c>
      <x:c r="E13" s="92" t="n">
        <x:v>3</x:v>
      </x:c>
      <x:c r="F13" s="92" t="str">
        <x:v>Christian Thought requirement</x:v>
      </x:c>
      <x:c r="G13" s="92" t="str">
        <x:v>Surveys church history from Pentecost through the Reformation.</x:v>
      </x:c>
      <x:c r="H13" s="92" t="str">
        <x:v>Required church-history survey.</x:v>
      </x:c>
      <x:c r="I13" s="92" t="str">
        <x:v>None stated.</x:v>
      </x:c>
      <x:c r="J13" s="92" t="str">
        <x:v>Required MDiv course.</x:v>
      </x:c>
      <x:c r="K13" s="95" t="str">
        <x:v>https://www.gordonconwell.edu/wp-content/uploads/2026/08/Academic-Catalog-2026-27.pdf</x:v>
      </x:c>
    </x:row>
    <x:row r="14" ht="66" customHeight="1">
      <x:c r="A14" s="92" t="str">
        <x:v>Year 1</x:v>
      </x:c>
      <x:c r="B14" s="92" t="str">
        <x:v>Spring</x:v>
      </x:c>
      <x:c r="C14" s="93" t="str">
        <x:v>AP 601</x:v>
      </x:c>
      <x:c r="D14" s="94" t="str">
        <x:v>Introduction to Christian Apologetics</x:v>
      </x:c>
      <x:c r="E14" s="92" t="n">
        <x:v>3</x:v>
      </x:c>
      <x:c r="F14" s="92" t="str">
        <x:v>General elective</x:v>
      </x:c>
      <x:c r="G14" s="92" t="str">
        <x:v>Studies scriptural and historical models of apologetics and contemporary applications.</x:v>
      </x:c>
      <x:c r="H14" s="92" t="str">
        <x:v>Explicit apologetics training.</x:v>
      </x:c>
      <x:c r="I14" s="92" t="str">
        <x:v>None stated.</x:v>
      </x:c>
      <x:c r="J14" s="92" t="str">
        <x:v>Elective.</x:v>
      </x:c>
      <x:c r="K14" s="95" t="str">
        <x:v>https://www.gordonconwell.edu/wp-content/uploads/2026/08/Academic-Catalog-2026-27.pdf</x:v>
      </x:c>
    </x:row>
    <x:row r="15" ht="66" customHeight="1">
      <x:c r="A15" s="92" t="str">
        <x:v>Year 1</x:v>
      </x:c>
      <x:c r="B15" s="92" t="str">
        <x:v>Spring</x:v>
      </x:c>
      <x:c r="C15" s="93" t="str">
        <x:v>MM 605</x:v>
      </x:c>
      <x:c r="D15" s="94" t="str">
        <x:v>Mentored Ministry – Course 2</x:v>
      </x:c>
      <x:c r="E15" s="92" t="n">
        <x:v>1</x:v>
      </x:c>
      <x:c r="F15" s="92" t="str">
        <x:v>Mentored Ministry requirement</x:v>
      </x:c>
      <x:c r="G15" s="92" t="str">
        <x:v>Second supervised mentored-ministry course.</x:v>
      </x:c>
      <x:c r="H15" s="92" t="str">
        <x:v>Continues field formation.</x:v>
      </x:c>
      <x:c r="I15" s="92" t="str">
        <x:v>MM 505.</x:v>
      </x:c>
      <x:c r="J15" s="92" t="str">
        <x:v>Required sequence.</x:v>
      </x:c>
      <x:c r="K15" s="95" t="str">
        <x:v>https://www.gordonconwell.edu/wp-content/uploads/2026/08/Academic-Catalog-2026-27.pdf</x:v>
      </x:c>
    </x:row>
    <x:row r="16" ht="66" customHeight="1">
      <x:c r="A16" s="100" t="str">
        <x:v>Year 1</x:v>
      </x:c>
      <x:c r="B16" s="100" t="str">
        <x:v>Summer</x:v>
      </x:c>
      <x:c r="C16" s="101" t="str">
        <x:v>SE 571</x:v>
      </x:c>
      <x:c r="D16" s="102" t="str">
        <x:v>Christian Ethics &amp; Social Issues</x:v>
      </x:c>
      <x:c r="E16" s="100" t="n">
        <x:v>3</x:v>
      </x:c>
      <x:c r="F16" s="100" t="str">
        <x:v>Christian Thought ethics choice</x:v>
      </x:c>
      <x:c r="G16" s="100" t="str">
        <x:v>Applies Christian ethical reasoning to personal, social, and public issues.</x:v>
      </x:c>
      <x:c r="H16" s="100" t="str">
        <x:v>Fulfills ethics requirement.</x:v>
      </x:c>
      <x:c r="I16" s="100" t="str">
        <x:v>None stated.</x:v>
      </x:c>
      <x:c r="J16" s="100" t="str">
        <x:v>Summer placement proposed.</x:v>
      </x:c>
      <x:c r="K16" s="103" t="str">
        <x:v>https://www.gordonconwell.edu/wp-content/uploads/2026/08/Academic-Catalog-2026-27.pdf</x:v>
      </x:c>
    </x:row>
    <x:row r="17" ht="66" customHeight="1">
      <x:c r="A17" s="84" t="str">
        <x:v>Year 2</x:v>
      </x:c>
      <x:c r="B17" s="84" t="str">
        <x:v>Fall</x:v>
      </x:c>
      <x:c r="C17" s="85" t="str">
        <x:v>NT 502</x:v>
      </x:c>
      <x:c r="D17" s="86" t="str">
        <x:v>Interpreting the New Testament</x:v>
      </x:c>
      <x:c r="E17" s="84" t="n">
        <x:v>3</x:v>
      </x:c>
      <x:c r="F17" s="84" t="str">
        <x:v>Biblical Studies requirement</x:v>
      </x:c>
      <x:c r="G17" s="84" t="str">
        <x:v>Introduces textual, lexical, grammatical, historical, and literary methods.</x:v>
      </x:c>
      <x:c r="H17" s="84" t="str">
        <x:v>Gateway to Greek exegesis.</x:v>
      </x:c>
      <x:c r="I17" s="84" t="str">
        <x:v>GL 502, NT 501, OT 500.</x:v>
      </x:c>
      <x:c r="J17" s="84" t="str">
        <x:v>Required.</x:v>
      </x:c>
      <x:c r="K17" s="87" t="str">
        <x:v>https://www.gordonconwell.edu/wp-content/uploads/2026/08/Academic-Catalog-2026-27.pdf</x:v>
      </x:c>
    </x:row>
    <x:row r="18" ht="66" customHeight="1">
      <x:c r="A18" s="92" t="str">
        <x:v>Year 2</x:v>
      </x:c>
      <x:c r="B18" s="92" t="str">
        <x:v>Fall</x:v>
      </x:c>
      <x:c r="C18" s="93" t="str">
        <x:v>OL 501</x:v>
      </x:c>
      <x:c r="D18" s="94" t="str">
        <x:v>Hebrew I</x:v>
      </x:c>
      <x:c r="E18" s="92" t="n">
        <x:v>3</x:v>
      </x:c>
      <x:c r="F18" s="92" t="str">
        <x:v>Biblical Studies requirement</x:v>
      </x:c>
      <x:c r="G18" s="92" t="str">
        <x:v>Introduces Biblical Hebrew grammar, vocabulary, and reading.</x:v>
      </x:c>
      <x:c r="H18" s="92" t="str">
        <x:v>Begins Hebrew sequence.</x:v>
      </x:c>
      <x:c r="I18" s="92" t="str">
        <x:v>None stated.</x:v>
      </x:c>
      <x:c r="J18" s="92" t="str">
        <x:v>Required.</x:v>
      </x:c>
      <x:c r="K18" s="95" t="str">
        <x:v>https://www.gordonconwell.edu/wp-content/uploads/2026/08/Academic-Catalog-2026-27.pdf</x:v>
      </x:c>
    </x:row>
    <x:row r="19" ht="66" customHeight="1">
      <x:c r="A19" s="92" t="str">
        <x:v>Year 2</x:v>
      </x:c>
      <x:c r="B19" s="92" t="str">
        <x:v>Fall</x:v>
      </x:c>
      <x:c r="C19" s="93" t="str">
        <x:v>TH 502</x:v>
      </x:c>
      <x:c r="D19" s="94" t="str">
        <x:v>Theology Survey II</x:v>
      </x:c>
      <x:c r="E19" s="92" t="n">
        <x:v>3</x:v>
      </x:c>
      <x:c r="F19" s="92" t="str">
        <x:v>Christian Thought requirement</x:v>
      </x:c>
      <x:c r="G19" s="92" t="str">
        <x:v>Surveys Christ, salvation, Spirit, church, sacraments, and eschatology.</x:v>
      </x:c>
      <x:c r="H19" s="92" t="str">
        <x:v>Completes theology survey.</x:v>
      </x:c>
      <x:c r="I19" s="92" t="str">
        <x:v>TH 501.</x:v>
      </x:c>
      <x:c r="J19" s="92" t="str">
        <x:v>Required.</x:v>
      </x:c>
      <x:c r="K19" s="95" t="str">
        <x:v>https://www.gordonconwell.edu/wp-content/uploads/2026/08/Academic-Catalog-2026-27.pdf</x:v>
      </x:c>
    </x:row>
    <x:row r="20" ht="66" customHeight="1">
      <x:c r="A20" s="92" t="str">
        <x:v>Year 2</x:v>
      </x:c>
      <x:c r="B20" s="92" t="str">
        <x:v>Fall</x:v>
      </x:c>
      <x:c r="C20" s="93" t="str">
        <x:v>CH 502</x:v>
      </x:c>
      <x:c r="D20" s="94" t="str">
        <x:v>The Church since the Reformation</x:v>
      </x:c>
      <x:c r="E20" s="92" t="n">
        <x:v>3</x:v>
      </x:c>
      <x:c r="F20" s="92" t="str">
        <x:v>Christian Thought requirement</x:v>
      </x:c>
      <x:c r="G20" s="92" t="str">
        <x:v>Surveys church history from the Reformation to the present.</x:v>
      </x:c>
      <x:c r="H20" s="92" t="str">
        <x:v>Completes church-history survey.</x:v>
      </x:c>
      <x:c r="I20" s="92" t="str">
        <x:v>CH 501.</x:v>
      </x:c>
      <x:c r="J20" s="92" t="str">
        <x:v>Required.</x:v>
      </x:c>
      <x:c r="K20" s="95" t="str">
        <x:v>https://www.gordonconwell.edu/wp-content/uploads/2026/08/Academic-Catalog-2026-27.pdf</x:v>
      </x:c>
    </x:row>
    <x:row r="21" ht="66" customHeight="1">
      <x:c r="A21" s="92" t="str">
        <x:v>Year 2</x:v>
      </x:c>
      <x:c r="B21" s="92" t="str">
        <x:v>Fall</x:v>
      </x:c>
      <x:c r="C21" s="93" t="str">
        <x:v>MM 705</x:v>
      </x:c>
      <x:c r="D21" s="94" t="str">
        <x:v>Mentored Ministry – Course 3</x:v>
      </x:c>
      <x:c r="E21" s="92" t="n">
        <x:v>1</x:v>
      </x:c>
      <x:c r="F21" s="92" t="str">
        <x:v>Mentored Ministry requirement</x:v>
      </x:c>
      <x:c r="G21" s="92" t="str">
        <x:v>Third supervised mentored-ministry course.</x:v>
      </x:c>
      <x:c r="H21" s="92" t="str">
        <x:v>Completes mentored ministry.</x:v>
      </x:c>
      <x:c r="I21" s="92" t="str">
        <x:v>MM 605.</x:v>
      </x:c>
      <x:c r="J21" s="92" t="str">
        <x:v>Required sequence.</x:v>
      </x:c>
      <x:c r="K21" s="95" t="str">
        <x:v>https://www.gordonconwell.edu/wp-content/uploads/2026/08/Academic-Catalog-2026-27.pdf</x:v>
      </x:c>
    </x:row>
    <x:row r="22" ht="66" customHeight="1">
      <x:c r="A22" s="100" t="str">
        <x:v>Year 2</x:v>
      </x:c>
      <x:c r="B22" s="100" t="str">
        <x:v>January</x:v>
      </x:c>
      <x:c r="C22" s="101" t="str">
        <x:v>TH/WM 602</x:v>
      </x:c>
      <x:c r="D22" s="102" t="str">
        <x:v>Theology of Mission</x:v>
      </x:c>
      <x:c r="E22" s="100" t="n">
        <x:v>3</x:v>
      </x:c>
      <x:c r="F22" s="100" t="str">
        <x:v>Christian Thought mission choice</x:v>
      </x:c>
      <x:c r="G22" s="100" t="str">
        <x:v>Studies biblical and theological foundations of mission.</x:v>
      </x:c>
      <x:c r="H22" s="100" t="str">
        <x:v>Supports mission and global apologetics.</x:v>
      </x:c>
      <x:c r="I22" s="100" t="str">
        <x:v>Prior theology helpful.</x:v>
      </x:c>
      <x:c r="J22" s="100" t="str">
        <x:v>Published option.</x:v>
      </x:c>
      <x:c r="K22" s="103" t="str">
        <x:v>https://www.gordonconwell.edu/wp-content/uploads/2026/08/Academic-Catalog-2026-27.pdf</x:v>
      </x:c>
    </x:row>
    <x:row r="23" ht="66" customHeight="1">
      <x:c r="A23" s="84" t="str">
        <x:v>Year 2</x:v>
      </x:c>
      <x:c r="B23" s="84" t="str">
        <x:v>Spring</x:v>
      </x:c>
      <x:c r="C23" s="85" t="str">
        <x:v>OL 502</x:v>
      </x:c>
      <x:c r="D23" s="86" t="str">
        <x:v>Hebrew II</x:v>
      </x:c>
      <x:c r="E23" s="84" t="n">
        <x:v>3</x:v>
      </x:c>
      <x:c r="F23" s="84" t="str">
        <x:v>Biblical Studies requirement</x:v>
      </x:c>
      <x:c r="G23" s="84" t="str">
        <x:v>Continues Biblical Hebrew and introduces rudimentary exegesis.</x:v>
      </x:c>
      <x:c r="H23" s="84" t="str">
        <x:v>Completes basic Hebrew.</x:v>
      </x:c>
      <x:c r="I23" s="84" t="str">
        <x:v>OL 501.</x:v>
      </x:c>
      <x:c r="J23" s="84" t="str">
        <x:v>Required.</x:v>
      </x:c>
      <x:c r="K23" s="87" t="str">
        <x:v>https://www.gordonconwell.edu/wp-content/uploads/2026/08/Academic-Catalog-2026-27.pdf</x:v>
      </x:c>
    </x:row>
    <x:row r="24" ht="66" customHeight="1">
      <x:c r="A24" s="92" t="str">
        <x:v>Year 2</x:v>
      </x:c>
      <x:c r="B24" s="92" t="str">
        <x:v>Spring</x:v>
      </x:c>
      <x:c r="C24" s="93" t="str">
        <x:v>NT 617</x:v>
      </x:c>
      <x:c r="D24" s="94" t="str">
        <x:v>Gospel of John</x:v>
      </x:c>
      <x:c r="E24" s="92" t="n">
        <x:v>3</x:v>
      </x:c>
      <x:c r="F24" s="92" t="str">
        <x:v>New Testament narrative exegesis choice</x:v>
      </x:c>
      <x:c r="G24" s="92" t="str">
        <x:v>Conducts Greek exegesis of John.</x:v>
      </x:c>
      <x:c r="H24" s="92" t="str">
        <x:v>Fulfills narrative exegesis requirement.</x:v>
      </x:c>
      <x:c r="I24" s="92" t="str">
        <x:v>GL 502 and NT 502.</x:v>
      </x:c>
      <x:c r="J24" s="92" t="str">
        <x:v>Selected option.</x:v>
      </x:c>
      <x:c r="K24" s="95" t="str">
        <x:v>https://www.gordonconwell.edu/wp-content/uploads/2026/08/Academic-Catalog-2026-27.pdf</x:v>
      </x:c>
    </x:row>
    <x:row r="25" ht="66" customHeight="1">
      <x:c r="A25" s="92" t="str">
        <x:v>Year 2</x:v>
      </x:c>
      <x:c r="B25" s="92" t="str">
        <x:v>Spring</x:v>
      </x:c>
      <x:c r="C25" s="93" t="str">
        <x:v>PC 511</x:v>
      </x:c>
      <x:c r="D25" s="94" t="str">
        <x:v>Introduction to Pastoral Counseling</x:v>
      </x:c>
      <x:c r="E25" s="92" t="n">
        <x:v>3</x:v>
      </x:c>
      <x:c r="F25" s="92" t="str">
        <x:v>Practical Theology choice</x:v>
      </x:c>
      <x:c r="G25" s="92" t="str">
        <x:v>Introduces foundational pastoral-counseling theories and skills.</x:v>
      </x:c>
      <x:c r="H25" s="92" t="str">
        <x:v>Supports pastoral care.</x:v>
      </x:c>
      <x:c r="I25" s="92" t="str">
        <x:v>None stated.</x:v>
      </x:c>
      <x:c r="J25" s="92" t="str">
        <x:v>Published option.</x:v>
      </x:c>
      <x:c r="K25" s="95" t="str">
        <x:v>https://www.gordonconwell.edu/wp-content/uploads/2026/08/Academic-Catalog-2026-27.pdf</x:v>
      </x:c>
    </x:row>
    <x:row r="26" ht="66" customHeight="1">
      <x:c r="A26" s="92" t="str">
        <x:v>Year 2</x:v>
      </x:c>
      <x:c r="B26" s="92" t="str">
        <x:v>Spring</x:v>
      </x:c>
      <x:c r="C26" s="93" t="str">
        <x:v>EV 701</x:v>
      </x:c>
      <x:c r="D26" s="94" t="str">
        <x:v>Evangelism &amp; Discipleship Through the Local Church</x:v>
      </x:c>
      <x:c r="E26" s="92" t="n">
        <x:v>3</x:v>
      </x:c>
      <x:c r="F26" s="92" t="str">
        <x:v>Practical Theology choice</x:v>
      </x:c>
      <x:c r="G26" s="92" t="str">
        <x:v>Develops congregational evangelism and discipleship.</x:v>
      </x:c>
      <x:c r="H26" s="92" t="str">
        <x:v>Supports preaching and evangelism.</x:v>
      </x:c>
      <x:c r="I26" s="92" t="str">
        <x:v>Prior ministry helpful.</x:v>
      </x:c>
      <x:c r="J26" s="92" t="str">
        <x:v>Elective.</x:v>
      </x:c>
      <x:c r="K26" s="95" t="str">
        <x:v>https://www.gordonconwell.edu/wp-content/uploads/2026/08/Academic-Catalog-2026-27.pdf</x:v>
      </x:c>
    </x:row>
    <x:row r="27" ht="66" customHeight="1">
      <x:c r="A27" s="100" t="str">
        <x:v>Year 2</x:v>
      </x:c>
      <x:c r="B27" s="100" t="str">
        <x:v>Summer</x:v>
      </x:c>
      <x:c r="C27" s="101" t="str">
        <x:v>AP/MC 612</x:v>
      </x:c>
      <x:c r="D27" s="102" t="str">
        <x:v>Practical Apologetics</x:v>
      </x:c>
      <x:c r="E27" s="100" t="n">
        <x:v>3</x:v>
      </x:c>
      <x:c r="F27" s="100" t="str">
        <x:v>Practical Theology broad elective</x:v>
      </x:c>
      <x:c r="G27" s="100" t="str">
        <x:v>Applies apologetic theory in secular contexts.</x:v>
      </x:c>
      <x:c r="H27" s="100" t="str">
        <x:v>Practice-oriented apologetics.</x:v>
      </x:c>
      <x:c r="I27" s="100" t="str">
        <x:v>AP 601 helpful.</x:v>
      </x:c>
      <x:c r="J27" s="100" t="str">
        <x:v>Uses MC cross-listing.</x:v>
      </x:c>
      <x:c r="K27" s="103" t="str">
        <x:v>https://www.gordonconwell.edu/wp-content/uploads/2026/08/Academic-Catalog-2026-27.pdf</x:v>
      </x:c>
    </x:row>
    <x:row r="28" ht="66" customHeight="1">
      <x:c r="A28" s="84" t="str">
        <x:v>Year 3</x:v>
      </x:c>
      <x:c r="B28" s="84" t="str">
        <x:v>Fall</x:v>
      </x:c>
      <x:c r="C28" s="85" t="str">
        <x:v>OT 511</x:v>
      </x:c>
      <x:c r="D28" s="86" t="str">
        <x:v>Interpreting the Old Testament</x:v>
      </x:c>
      <x:c r="E28" s="84" t="n">
        <x:v>3</x:v>
      </x:c>
      <x:c r="F28" s="84" t="str">
        <x:v>Biblical Studies requirement</x:v>
      </x:c>
      <x:c r="G28" s="84" t="str">
        <x:v>Introduces methods and principles of Old Testament interpretation.</x:v>
      </x:c>
      <x:c r="H28" s="84" t="str">
        <x:v>Gateway to Hebrew exegesis.</x:v>
      </x:c>
      <x:c r="I28" s="84" t="str">
        <x:v>OL 502, OT 500, NT 501.</x:v>
      </x:c>
      <x:c r="J28" s="84" t="str">
        <x:v>Required.</x:v>
      </x:c>
      <x:c r="K28" s="87" t="str">
        <x:v>https://www.gordonconwell.edu/wp-content/uploads/2026/08/Academic-Catalog-2026-27.pdf</x:v>
      </x:c>
    </x:row>
    <x:row r="29" ht="66" customHeight="1">
      <x:c r="A29" s="92" t="str">
        <x:v>Year 3</x:v>
      </x:c>
      <x:c r="B29" s="92" t="str">
        <x:v>Fall</x:v>
      </x:c>
      <x:c r="C29" s="93" t="str">
        <x:v>NT 620</x:v>
      </x:c>
      <x:c r="D29" s="94" t="str">
        <x:v>Exegesis of Romans</x:v>
      </x:c>
      <x:c r="E29" s="92" t="n">
        <x:v>3</x:v>
      </x:c>
      <x:c r="F29" s="92" t="str">
        <x:v>New Testament epistle exegesis choice</x:v>
      </x:c>
      <x:c r="G29" s="92" t="str">
        <x:v>Conducts Greek exegesis and theological study of Romans.</x:v>
      </x:c>
      <x:c r="H29" s="92" t="str">
        <x:v>Fulfills epistle exegesis requirement.</x:v>
      </x:c>
      <x:c r="I29" s="92" t="str">
        <x:v>GL 502 and NT 502.</x:v>
      </x:c>
      <x:c r="J29" s="92" t="str">
        <x:v>Selected option.</x:v>
      </x:c>
      <x:c r="K29" s="95" t="str">
        <x:v>https://www.gordonconwell.edu/wp-content/uploads/2026/08/Academic-Catalog-2026-27.pdf</x:v>
      </x:c>
    </x:row>
    <x:row r="30" ht="66" customHeight="1">
      <x:c r="A30" s="92" t="str">
        <x:v>Year 3</x:v>
      </x:c>
      <x:c r="B30" s="92" t="str">
        <x:v>Fall</x:v>
      </x:c>
      <x:c r="C30" s="93" t="str">
        <x:v>PR 601</x:v>
      </x:c>
      <x:c r="D30" s="94" t="str">
        <x:v>Preaching: Principles &amp; Practices in Preparing Relevant Biblical Sermons</x:v>
      </x:c>
      <x:c r="E30" s="92" t="n">
        <x:v>3</x:v>
      </x:c>
      <x:c r="F30" s="92" t="str">
        <x:v>Practical Theology requirement</x:v>
      </x:c>
      <x:c r="G30" s="92" t="str">
        <x:v>Teaches biblical sermon preparation and preaching with critique.</x:v>
      </x:c>
      <x:c r="H30" s="92" t="str">
        <x:v>Core homiletics.</x:v>
      </x:c>
      <x:c r="I30" s="92" t="str">
        <x:v>NT 502 or OT 511.</x:v>
      </x:c>
      <x:c r="J30" s="92" t="str">
        <x:v>Required.</x:v>
      </x:c>
      <x:c r="K30" s="95" t="str">
        <x:v>https://www.gordonconwell.edu/wp-content/uploads/2026/08/Academic-Catalog-2026-27.pdf</x:v>
      </x:c>
    </x:row>
    <x:row r="31" ht="66" customHeight="1">
      <x:c r="A31" s="92" t="str">
        <x:v>Year 3</x:v>
      </x:c>
      <x:c r="B31" s="92" t="str">
        <x:v>Fall</x:v>
      </x:c>
      <x:c r="C31" s="93" t="str">
        <x:v>GL 601</x:v>
      </x:c>
      <x:c r="D31" s="94" t="str">
        <x:v>Intermediate Greek</x:v>
      </x:c>
      <x:c r="E31" s="92" t="n">
        <x:v>3</x:v>
      </x:c>
      <x:c r="F31" s="92" t="str">
        <x:v>General elective</x:v>
      </x:c>
      <x:c r="G31" s="92" t="str">
        <x:v>Advances Greek grammar and grammatical analysis.</x:v>
      </x:c>
      <x:c r="H31" s="92" t="str">
        <x:v>Strengthens language competence.</x:v>
      </x:c>
      <x:c r="I31" s="92" t="str">
        <x:v>GL 502.</x:v>
      </x:c>
      <x:c r="J31" s="92" t="str">
        <x:v>General elective.</x:v>
      </x:c>
      <x:c r="K31" s="95" t="str">
        <x:v>https://www.gordonconwell.edu/wp-content/uploads/2026/08/Academic-Catalog-2026-27.pdf</x:v>
      </x:c>
    </x:row>
    <x:row r="32" ht="66" customHeight="1">
      <x:c r="A32" s="100" t="str">
        <x:v>Year 3</x:v>
      </x:c>
      <x:c r="B32" s="100" t="str">
        <x:v>January</x:v>
      </x:c>
      <x:c r="C32" s="101" t="str">
        <x:v>TH 662</x:v>
      </x:c>
      <x:c r="D32" s="102" t="str">
        <x:v>Retrieving Classical Theism</x:v>
      </x:c>
      <x:c r="E32" s="100" t="n">
        <x:v>3</x:v>
      </x:c>
      <x:c r="F32" s="100" t="str">
        <x:v>Theology elective</x:v>
      </x:c>
      <x:c r="G32" s="100" t="str">
        <x:v>Examines evangelical retrieval of classical theism.</x:v>
      </x:c>
      <x:c r="H32" s="100" t="str">
        <x:v>Supports doctrine-of-God and apologetics.</x:v>
      </x:c>
      <x:c r="I32" s="100" t="str">
        <x:v>TH 501 and TH 502 helpful.</x:v>
      </x:c>
      <x:c r="J32" s="100" t="str">
        <x:v>Term placement proposed.</x:v>
      </x:c>
      <x:c r="K32" s="103" t="str">
        <x:v>https://www.gordonconwell.edu/wp-content/uploads/2026/08/Academic-Catalog-2026-27.pdf</x:v>
      </x:c>
    </x:row>
    <x:row r="33" ht="66" customHeight="1">
      <x:c r="A33" s="84" t="str">
        <x:v>Year 3</x:v>
      </x:c>
      <x:c r="B33" s="84" t="str">
        <x:v>Spring</x:v>
      </x:c>
      <x:c r="C33" s="85" t="str">
        <x:v>OT 626</x:v>
      </x:c>
      <x:c r="D33" s="86" t="str">
        <x:v>Exegesis in Genesis</x:v>
      </x:c>
      <x:c r="E33" s="84" t="n">
        <x:v>3</x:v>
      </x:c>
      <x:c r="F33" s="84" t="str">
        <x:v>Old Testament 600-level exegesis choice</x:v>
      </x:c>
      <x:c r="G33" s="84" t="str">
        <x:v>Conducts Hebrew exegesis of Genesis.</x:v>
      </x:c>
      <x:c r="H33" s="84" t="str">
        <x:v>Fulfills OT exegesis category.</x:v>
      </x:c>
      <x:c r="I33" s="84" t="str">
        <x:v>OT 511.</x:v>
      </x:c>
      <x:c r="J33" s="84" t="str">
        <x:v>Selected option.</x:v>
      </x:c>
      <x:c r="K33" s="87" t="str">
        <x:v>https://www.gordonconwell.edu/wp-content/uploads/2026/08/Academic-Catalog-2026-27.pdf</x:v>
      </x:c>
    </x:row>
    <x:row r="34" ht="66" customHeight="1">
      <x:c r="A34" s="92" t="str">
        <x:v>Year 3</x:v>
      </x:c>
      <x:c r="B34" s="92" t="str">
        <x:v>Spring</x:v>
      </x:c>
      <x:c r="C34" s="93" t="str">
        <x:v>OT 750</x:v>
      </x:c>
      <x:c r="D34" s="94" t="str">
        <x:v>Old Testament Prophetical Books</x:v>
      </x:c>
      <x:c r="E34" s="92" t="n">
        <x:v>3</x:v>
      </x:c>
      <x:c r="F34" s="92" t="str">
        <x:v>Old Testament 700-level exegesis choice</x:v>
      </x:c>
      <x:c r="G34" s="92" t="str">
        <x:v>Surveys prophetic books and selected Hebrew exegesis.</x:v>
      </x:c>
      <x:c r="H34" s="92" t="str">
        <x:v>Fulfills second OT exegesis category.</x:v>
      </x:c>
      <x:c r="I34" s="92" t="str">
        <x:v>OT 511.</x:v>
      </x:c>
      <x:c r="J34" s="92" t="str">
        <x:v>Selected option.</x:v>
      </x:c>
      <x:c r="K34" s="95" t="str">
        <x:v>https://www.gordonconwell.edu/wp-content/uploads/2026/08/Academic-Catalog-2026-27.pdf</x:v>
      </x:c>
    </x:row>
    <x:row r="35" ht="66" customHeight="1">
      <x:c r="A35" s="92" t="str">
        <x:v>Year 3</x:v>
      </x:c>
      <x:c r="B35" s="92" t="str">
        <x:v>Spring</x:v>
      </x:c>
      <x:c r="C35" s="93" t="str">
        <x:v>PR 602</x:v>
      </x:c>
      <x:c r="D35" s="94" t="str">
        <x:v>Preaching for Modern Listeners</x:v>
      </x:c>
      <x:c r="E35" s="92" t="n">
        <x:v>3</x:v>
      </x:c>
      <x:c r="F35" s="92" t="str">
        <x:v>Advanced preaching choice</x:v>
      </x:c>
      <x:c r="G35" s="92" t="str">
        <x:v>Develops sermon preparation for contemporary audiences.</x:v>
      </x:c>
      <x:c r="H35" s="92" t="str">
        <x:v>Advanced preaching formation.</x:v>
      </x:c>
      <x:c r="I35" s="92" t="str">
        <x:v>PR 601.</x:v>
      </x:c>
      <x:c r="J35" s="92" t="str">
        <x:v>Published option.</x:v>
      </x:c>
      <x:c r="K35" s="95" t="str">
        <x:v>https://www.gordonconwell.edu/wp-content/uploads/2026/08/Academic-Catalog-2026-27.pdf</x:v>
      </x:c>
    </x:row>
    <x:row r="36" ht="66" customHeight="1">
      <x:c r="A36" s="126" t="str">
        <x:v>Year 3</x:v>
      </x:c>
      <x:c r="B36" s="126" t="str">
        <x:v>Spring</x:v>
      </x:c>
      <x:c r="C36" s="127" t="str">
        <x:v>MC 701</x:v>
      </x:c>
      <x:c r="D36" s="128" t="str">
        <x:v>Pastoral Ministry</x:v>
      </x:c>
      <x:c r="E36" s="126" t="n">
        <x:v>3</x:v>
      </x:c>
      <x:c r="F36" s="126" t="str">
        <x:v>Pastoral ministry capstone choice</x:v>
      </x:c>
      <x:c r="G36" s="126" t="str">
        <x:v>Examines pastoral call, identity, character, relationships, and formation.</x:v>
      </x:c>
      <x:c r="H36" s="126" t="str">
        <x:v>Pastoral capstone.</x:v>
      </x:c>
      <x:c r="I36" s="126" t="str">
        <x:v>Advanced MDiv standing.</x:v>
      </x:c>
      <x:c r="J36" s="126" t="str">
        <x:v>Published option.</x:v>
      </x:c>
      <x:c r="K36" s="129" t="str">
        <x:v>https://www.gordonconwell.edu/wp-content/uploads/2026/08/Academic-Catalog-2026-27.pdf</x:v>
      </x:c>
    </x:row>
    <x:row r="38">
      <x:c r="A38" s="124" t="str">
        <x:v>Total catalog credits in this plan</x:v>
      </x:c>
      <x:c r="B38" s="124"/>
      <x:c r="C38" s="124"/>
      <x:c r="D38" s="124"/>
      <x:c r="E38" s="124" t="n">
        <x:f>SUM(E5:E36)</x:f>
        <x:v>90</x:v>
      </x:c>
      <x:c r="F38" s="124"/>
      <x:c r="G38" s="124"/>
      <x:c r="H38" s="124"/>
      <x:c r="I38" s="124"/>
      <x:c r="J38" s="124"/>
      <x:c r="K38" s="124"/>
    </x:row>
  </x:sheetData>
  <x:mergeCells>
    <x:mergeCell ref="A1:K1"/>
    <x:mergeCell ref="A2:K2"/>
    <x:mergeCell ref="A38:D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34" hidden="0" customWidth="1"/>
    <x:col min="5" max="5" width="11" hidden="0" customWidth="1"/>
    <x:col min="6" max="6" width="26" hidden="0" customWidth="1"/>
    <x:col min="7" max="7" width="48" hidden="0" customWidth="1"/>
    <x:col min="8" max="8" width="38" hidden="0" customWidth="1"/>
    <x:col min="9" max="9" width="34" hidden="0" customWidth="1"/>
    <x:col min="10" max="10" width="41" hidden="0" customWidth="1"/>
    <x:col min="11" max="11" width="42" hidden="0" customWidth="1"/>
  </x:cols>
  <x:sheetData>
    <x:row r="1" ht="28" customHeight="1">
      <x:c r="A1" s="4" t="str">
        <x:v>Princeton Theological Seminary — Five-Year PhD Framework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4" customHeight="1">
      <x:c r="A2" s="11" t="str">
        <x:v>Recommended field: Biblical Studies — New Testament. Princeton does not prescribe one universal set of named seminars semester by semester; this table uses published categories, competencies, exams, and milestones.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21" t="str">
        <x:v>Year</x:v>
      </x:c>
      <x:c r="B4" s="21" t="str">
        <x:v>Term</x:v>
      </x:c>
      <x:c r="C4" s="21" t="str">
        <x:v>Course Code / Requirement</x:v>
      </x:c>
      <x:c r="D4" s="21" t="str">
        <x:v>Exact Current Catalog Title / Published Label</x:v>
      </x:c>
      <x:c r="E4" s="21" t="str">
        <x:v>Credits</x:v>
      </x:c>
      <x:c r="F4" s="21" t="str">
        <x:v>Requirement Status</x:v>
      </x:c>
      <x:c r="G4" s="21" t="str">
        <x:v>Catalog-Based Description</x:v>
      </x:c>
      <x:c r="H4" s="21" t="str">
        <x:v>Why It Is Included</x:v>
      </x:c>
      <x:c r="I4" s="21" t="str">
        <x:v>Prerequisites / Completion Condition</x:v>
      </x:c>
      <x:c r="J4" s="21" t="str">
        <x:v>Offering and Accuracy Note</x:v>
      </x:c>
      <x:c r="K4" s="21" t="str">
        <x:v>Official Catalog Source</x:v>
      </x:c>
    </x:row>
    <x:row r="5" ht="66" customHeight="1">
      <x:c r="A5" s="84" t="str">
        <x:v>Pre-matriculation</x:v>
      </x:c>
      <x:c r="B5" s="84" t="str">
        <x:v>Before Year 1</x:v>
      </x:c>
      <x:c r="C5" s="85" t="str">
        <x:v>Modern research language</x:v>
      </x:c>
      <x:c r="D5" s="86" t="str">
        <x:v>German reading competency</x:v>
      </x:c>
      <x:c r="E5" s="84" t="str">
        <x:v>Not assigned a universal course credit</x:v>
      </x:c>
      <x:c r="F5" s="84" t="str">
        <x:v>Required competency</x:v>
      </x:c>
      <x:c r="G5" s="84" t="str">
        <x:v>German competence must ordinarily be demonstrated before matriculation.</x:v>
      </x:c>
      <x:c r="H5" s="84" t="str">
        <x:v>Provides access to major New Testament scholarship.</x:v>
      </x:c>
      <x:c r="I5" s="84" t="str">
        <x:v>Demonstrate competence by approved process.</x:v>
      </x:c>
      <x:c r="J5" s="84" t="str">
        <x:v>Requirement, not a universal course.</x:v>
      </x:c>
      <x:c r="K5" s="87" t="str">
        <x:v>https://ptsem.edu/academics/phd-studies/requirements/</x:v>
      </x:c>
    </x:row>
    <x:row r="6" ht="66" customHeight="1">
      <x:c r="A6" s="92" t="str">
        <x:v>Pre-matriculation</x:v>
      </x:c>
      <x:c r="B6" s="92" t="str">
        <x:v>Before Year 1</x:v>
      </x:c>
      <x:c r="C6" s="93" t="str">
        <x:v>Ancient-language preparation</x:v>
      </x:c>
      <x:c r="D6" s="94" t="str">
        <x:v>Greek and Hebrew readiness</x:v>
      </x:c>
      <x:c r="E6" s="92" t="str">
        <x:v>Not assigned a universal course credit</x:v>
      </x:c>
      <x:c r="F6" s="92" t="str">
        <x:v>Required preparation</x:v>
      </x:c>
      <x:c r="G6" s="92" t="str">
        <x:v>New Testament students must demonstrate competence in Greek and Hebrew.</x:v>
      </x:c>
      <x:c r="H6" s="92" t="str">
        <x:v>Necessary for doctoral seminars and exams.</x:v>
      </x:c>
      <x:c r="I6" s="92" t="str">
        <x:v>Enter with advanced Greek and sufficient Hebrew.</x:v>
      </x:c>
      <x:c r="J6" s="92" t="str">
        <x:v>No invented preparatory course.</x:v>
      </x:c>
      <x:c r="K6" s="95" t="str">
        <x:v>https://ptsem.edu/academics/departments/biblical-studies/phd-program/</x:v>
      </x:c>
    </x:row>
    <x:row r="7" ht="66" customHeight="1">
      <x:c r="A7" s="100" t="str">
        <x:v>Year 1</x:v>
      </x:c>
      <x:c r="B7" s="100" t="str">
        <x:v>Fall</x:v>
      </x:c>
      <x:c r="C7" s="101" t="str">
        <x:v>Required interdisciplinary seminar</x:v>
      </x:c>
      <x:c r="D7" s="102" t="str">
        <x:v>First-Year Interdisciplinary Seminar</x:v>
      </x:c>
      <x:c r="E7" s="100" t="str">
        <x:v>Not publicly fixed per seminar</x:v>
      </x:c>
      <x:c r="F7" s="100" t="str">
        <x:v>Required doctoral seminar</x:v>
      </x:c>
      <x:c r="G7" s="100" t="str">
        <x:v>Required first-year interdisciplinary seminar.</x:v>
      </x:c>
      <x:c r="H7" s="100" t="str">
        <x:v>Introduces doctoral-level interdisciplinary research.</x:v>
      </x:c>
      <x:c r="I7" s="100" t="str">
        <x:v>Complete during first year.</x:v>
      </x:c>
      <x:c r="J7" s="100" t="str">
        <x:v>Exact section/topic varies.</x:v>
      </x:c>
      <x:c r="K7" s="103" t="str">
        <x:v>https://catalog.ptsem.edu/</x:v>
      </x:c>
    </x:row>
    <x:row r="8" ht="66" customHeight="1">
      <x:c r="A8" s="108" t="str">
        <x:v>Year 1</x:v>
      </x:c>
      <x:c r="B8" s="108" t="str">
        <x:v>Fall</x:v>
      </x:c>
      <x:c r="C8" s="109" t="str">
        <x:v>Required teaching seminar</x:v>
      </x:c>
      <x:c r="D8" s="110" t="str">
        <x:v>Foundations for Teaching (fall portion)</x:v>
      </x:c>
      <x:c r="E8" s="108" t="str">
        <x:v>Not publicly fixed per seminar</x:v>
      </x:c>
      <x:c r="F8" s="108" t="str">
        <x:v>Required yearlong seminar</x:v>
      </x:c>
      <x:c r="G8" s="108" t="str">
        <x:v>Fall portion of the required yearlong teaching seminar.</x:v>
      </x:c>
      <x:c r="H8" s="108" t="str">
        <x:v>Develops theological teaching preparation.</x:v>
      </x:c>
      <x:c r="I8" s="108" t="str">
        <x:v>Remain enrolled through year.</x:v>
      </x:c>
      <x:c r="J8" s="108" t="str">
        <x:v>Term label is scheduling notation.</x:v>
      </x:c>
      <x:c r="K8" s="111" t="str">
        <x:v>https://catalog.ptsem.edu/</x:v>
      </x:c>
    </x:row>
    <x:row r="9" ht="66" customHeight="1">
      <x:c r="A9" s="108" t="str">
        <x:v>Year 1</x:v>
      </x:c>
      <x:c r="B9" s="108" t="str">
        <x:v>Fall</x:v>
      </x:c>
      <x:c r="C9" s="109" t="str">
        <x:v>New Testament core area</x:v>
      </x:c>
      <x:c r="D9" s="110" t="str">
        <x:v>5000/9000-level New Testament Text/Corpus Seminar I</x:v>
      </x:c>
      <x:c r="E9" s="108" t="str">
        <x:v>Not publicly fixed per seminar</x:v>
      </x:c>
      <x:c r="F9" s="108" t="str">
        <x:v>Advisor-selected doctoral seminar</x:v>
      </x:c>
      <x:c r="G9" s="108" t="str">
        <x:v>Doctoral seminar centered on a New Testament text or corpus.</x:v>
      </x:c>
      <x:c r="H9" s="108" t="str">
        <x:v>Begins required depth in texts and corpora.</x:v>
      </x:c>
      <x:c r="I9" s="108" t="str">
        <x:v>Residence-committee approval.</x:v>
      </x:c>
      <x:c r="J9" s="108" t="str">
        <x:v>Exact title varies.</x:v>
      </x:c>
      <x:c r="K9" s="111" t="str">
        <x:v>https://ptsem.edu/academics/departments/biblical-studies/phd-program/</x:v>
      </x:c>
    </x:row>
    <x:row r="10" ht="66" customHeight="1">
      <x:c r="A10" s="108" t="str">
        <x:v>Year 1</x:v>
      </x:c>
      <x:c r="B10" s="108" t="str">
        <x:v>Fall</x:v>
      </x:c>
      <x:c r="C10" s="109" t="str">
        <x:v>New Testament core area</x:v>
      </x:c>
      <x:c r="D10" s="110" t="str">
        <x:v>5000/9000-level Greco-Roman Environment Seminar</x:v>
      </x:c>
      <x:c r="E10" s="108" t="str">
        <x:v>Not publicly fixed per seminar</x:v>
      </x:c>
      <x:c r="F10" s="108" t="str">
        <x:v>Advisor-selected doctoral seminar</x:v>
      </x:c>
      <x:c r="G10" s="108" t="str">
        <x:v>Seminar addressing the Greco-Roman environment of the New Testament.</x:v>
      </x:c>
      <x:c r="H10" s="108" t="str">
        <x:v>Fulfills core-area requirement.</x:v>
      </x:c>
      <x:c r="I10" s="108" t="str">
        <x:v>Residence-committee approval.</x:v>
      </x:c>
      <x:c r="J10" s="108" t="str">
        <x:v>Exact title varies.</x:v>
      </x:c>
      <x:c r="K10" s="111" t="str">
        <x:v>https://ptsem.edu/academics/departments/biblical-studies/phd-program/</x:v>
      </x:c>
    </x:row>
    <x:row r="11" ht="66" customHeight="1">
      <x:c r="A11" s="108" t="str">
        <x:v>Year 1</x:v>
      </x:c>
      <x:c r="B11" s="108" t="str">
        <x:v>Fall</x:v>
      </x:c>
      <x:c r="C11" s="109" t="str">
        <x:v>Departmental colloquium</x:v>
      </x:c>
      <x:c r="D11" s="110" t="str">
        <x:v>New Testament Research Colloquium I</x:v>
      </x:c>
      <x:c r="E11" s="108" t="str">
        <x:v>No universal public credit value stated</x:v>
      </x:c>
      <x:c r="F11" s="108" t="str">
        <x:v>Required during residence</x:v>
      </x:c>
      <x:c r="G11" s="108" t="str">
        <x:v>Participation in the New Testament research colloquium.</x:v>
      </x:c>
      <x:c r="H11" s="108" t="str">
        <x:v>Builds scholarly community.</x:v>
      </x:c>
      <x:c r="I11" s="108" t="str">
        <x:v>Attend throughout residence.</x:v>
      </x:c>
      <x:c r="J11" s="108" t="str">
        <x:v>Roman numeral indicates term only.</x:v>
      </x:c>
      <x:c r="K11" s="111" t="str">
        <x:v>https://ptsem.edu/academics/departments/biblical-studies/phd-program/</x:v>
      </x:c>
    </x:row>
    <x:row r="12" ht="66" customHeight="1">
      <x:c r="A12" s="84" t="str">
        <x:v>Year 1</x:v>
      </x:c>
      <x:c r="B12" s="84" t="str">
        <x:v>Spring</x:v>
      </x:c>
      <x:c r="C12" s="85" t="str">
        <x:v>Required teaching seminar</x:v>
      </x:c>
      <x:c r="D12" s="86" t="str">
        <x:v>Foundations for Teaching (spring portion)</x:v>
      </x:c>
      <x:c r="E12" s="84" t="str">
        <x:v>Not publicly fixed per seminar</x:v>
      </x:c>
      <x:c r="F12" s="84" t="str">
        <x:v>Required yearlong seminar</x:v>
      </x:c>
      <x:c r="G12" s="84" t="str">
        <x:v>Spring continuation of teaching seminar.</x:v>
      </x:c>
      <x:c r="H12" s="84" t="str">
        <x:v>Completes teaching-foundations sequence.</x:v>
      </x:c>
      <x:c r="I12" s="84" t="str">
        <x:v>Continue from fall.</x:v>
      </x:c>
      <x:c r="J12" s="84" t="str">
        <x:v>Term label is scheduling notation.</x:v>
      </x:c>
      <x:c r="K12" s="87" t="str">
        <x:v>https://catalog.ptsem.edu/</x:v>
      </x:c>
    </x:row>
    <x:row r="13" ht="66" customHeight="1">
      <x:c r="A13" s="92" t="str">
        <x:v>Year 1</x:v>
      </x:c>
      <x:c r="B13" s="92" t="str">
        <x:v>Spring</x:v>
      </x:c>
      <x:c r="C13" s="93" t="str">
        <x:v>New Testament core area</x:v>
      </x:c>
      <x:c r="D13" s="94" t="str">
        <x:v>5000/9000-level New Testament Text/Corpus Seminar II</x:v>
      </x:c>
      <x:c r="E13" s="92" t="str">
        <x:v>Not publicly fixed per seminar</x:v>
      </x:c>
      <x:c r="F13" s="92" t="str">
        <x:v>Advisor-selected doctoral seminar</x:v>
      </x:c>
      <x:c r="G13" s="92" t="str">
        <x:v>Second seminar centered on a New Testament text or corpus.</x:v>
      </x:c>
      <x:c r="H13" s="92" t="str">
        <x:v>Completes minimum of two text/corpus seminars.</x:v>
      </x:c>
      <x:c r="I13" s="92" t="str">
        <x:v>Residence-committee approval.</x:v>
      </x:c>
      <x:c r="J13" s="92" t="str">
        <x:v>Exact title varies.</x:v>
      </x:c>
      <x:c r="K13" s="95" t="str">
        <x:v>https://ptsem.edu/academics/departments/biblical-studies/phd-program/</x:v>
      </x:c>
    </x:row>
    <x:row r="14" ht="66" customHeight="1">
      <x:c r="A14" s="92" t="str">
        <x:v>Year 1</x:v>
      </x:c>
      <x:c r="B14" s="92" t="str">
        <x:v>Spring</x:v>
      </x:c>
      <x:c r="C14" s="93" t="str">
        <x:v>New Testament core area</x:v>
      </x:c>
      <x:c r="D14" s="94" t="str">
        <x:v>5000/9000-level Early Jewish Environment Seminar</x:v>
      </x:c>
      <x:c r="E14" s="92" t="str">
        <x:v>Not publicly fixed per seminar</x:v>
      </x:c>
      <x:c r="F14" s="92" t="str">
        <x:v>Advisor-selected doctoral seminar</x:v>
      </x:c>
      <x:c r="G14" s="92" t="str">
        <x:v>Seminar addressing the early Jewish environment of the New Testament.</x:v>
      </x:c>
      <x:c r="H14" s="92" t="str">
        <x:v>Fulfills core-area requirement.</x:v>
      </x:c>
      <x:c r="I14" s="92" t="str">
        <x:v>Residence-committee approval.</x:v>
      </x:c>
      <x:c r="J14" s="92" t="str">
        <x:v>Exact title varies.</x:v>
      </x:c>
      <x:c r="K14" s="95" t="str">
        <x:v>https://ptsem.edu/academics/departments/biblical-studies/phd-program/</x:v>
      </x:c>
    </x:row>
    <x:row r="15" ht="66" customHeight="1">
      <x:c r="A15" s="92" t="str">
        <x:v>Year 1</x:v>
      </x:c>
      <x:c r="B15" s="92" t="str">
        <x:v>Spring</x:v>
      </x:c>
      <x:c r="C15" s="93" t="str">
        <x:v>Doctoral elective</x:v>
      </x:c>
      <x:c r="D15" s="94" t="str">
        <x:v>5000/9000-level Doctoral Elective I</x:v>
      </x:c>
      <x:c r="E15" s="92" t="str">
        <x:v>Not publicly fixed per seminar</x:v>
      </x:c>
      <x:c r="F15" s="92" t="str">
        <x:v>Advisor-selected elective</x:v>
      </x:c>
      <x:c r="G15" s="92" t="str">
        <x:v>Approved doctoral seminar in Biblical Studies, another Seminary department, or Princeton University.</x:v>
      </x:c>
      <x:c r="H15" s="92" t="str">
        <x:v>Adds breadth or specialization.</x:v>
      </x:c>
      <x:c r="I15" s="92" t="str">
        <x:v>Residence-committee approval.</x:v>
      </x:c>
      <x:c r="J15" s="92" t="str">
        <x:v>No universal title.</x:v>
      </x:c>
      <x:c r="K15" s="95" t="str">
        <x:v>https://ptsem.edu/academics/phd-studies/phd-program/</x:v>
      </x:c>
    </x:row>
    <x:row r="16" ht="66" customHeight="1">
      <x:c r="A16" s="92" t="str">
        <x:v>Year 1</x:v>
      </x:c>
      <x:c r="B16" s="92" t="str">
        <x:v>Spring</x:v>
      </x:c>
      <x:c r="C16" s="93" t="str">
        <x:v>Departmental colloquium</x:v>
      </x:c>
      <x:c r="D16" s="94" t="str">
        <x:v>New Testament Research Colloquium II</x:v>
      </x:c>
      <x:c r="E16" s="92" t="str">
        <x:v>No universal public credit value stated</x:v>
      </x:c>
      <x:c r="F16" s="92" t="str">
        <x:v>Required during residence</x:v>
      </x:c>
      <x:c r="G16" s="92" t="str">
        <x:v>Continued participation in research colloquium.</x:v>
      </x:c>
      <x:c r="H16" s="92" t="str">
        <x:v>Supports first-year response.</x:v>
      </x:c>
      <x:c r="I16" s="92" t="str">
        <x:v>Present one response during Year 1.</x:v>
      </x:c>
      <x:c r="J16" s="92" t="str">
        <x:v>Term sequence only.</x:v>
      </x:c>
      <x:c r="K16" s="95" t="str">
        <x:v>https://ptsem.edu/academics/departments/biblical-studies/phd-program/</x:v>
      </x:c>
    </x:row>
    <x:row r="17" ht="66" customHeight="1">
      <x:c r="A17" s="92" t="str">
        <x:v>Year 1</x:v>
      </x:c>
      <x:c r="B17" s="92" t="str">
        <x:v>Spring</x:v>
      </x:c>
      <x:c r="C17" s="93" t="str">
        <x:v>Language examination</x:v>
      </x:c>
      <x:c r="D17" s="94" t="str">
        <x:v>New Testament Greek competency examination</x:v>
      </x:c>
      <x:c r="E17" s="92" t="str">
        <x:v>Examination; no course credit</x:v>
      </x:c>
      <x:c r="F17" s="92" t="str">
        <x:v>Required examination</x:v>
      </x:c>
      <x:c r="G17" s="92" t="str">
        <x:v>NT Greek examination in May of the first year.</x:v>
      </x:c>
      <x:c r="H17" s="92" t="str">
        <x:v>Demonstrates doctoral-level Greek competence.</x:v>
      </x:c>
      <x:c r="I17" s="92" t="str">
        <x:v>Pass exam.</x:v>
      </x:c>
      <x:c r="J17" s="92" t="str">
        <x:v>Exam, not class.</x:v>
      </x:c>
      <x:c r="K17" s="95" t="str">
        <x:v>https://ptsem.edu/academics/departments/biblical-studies/phd-program/</x:v>
      </x:c>
    </x:row>
    <x:row r="18" ht="66" customHeight="1">
      <x:c r="A18" s="100" t="str">
        <x:v>Year 1</x:v>
      </x:c>
      <x:c r="B18" s="100" t="str">
        <x:v>Summer</x:v>
      </x:c>
      <x:c r="C18" s="101" t="str">
        <x:v>Modern research language</x:v>
      </x:c>
      <x:c r="D18" s="102" t="str">
        <x:v>Second modern research language preparation/competency</x:v>
      </x:c>
      <x:c r="E18" s="100" t="str">
        <x:v>Not assigned a universal course credit</x:v>
      </x:c>
      <x:c r="F18" s="100" t="str">
        <x:v>Required competency</x:v>
      </x:c>
      <x:c r="G18" s="100" t="str">
        <x:v>Second modern research language selected with residence committee.</x:v>
      </x:c>
      <x:c r="H18" s="100" t="str">
        <x:v>Supports dissertation research.</x:v>
      </x:c>
      <x:c r="I18" s="100" t="str">
        <x:v>Ordinarily demonstrate before Year 2.</x:v>
      </x:c>
      <x:c r="J18" s="100" t="str">
        <x:v>No universal course.</x:v>
      </x:c>
      <x:c r="K18" s="103" t="str">
        <x:v>https://ptsem.edu/academics/phd-studies/requirements/</x:v>
      </x:c>
    </x:row>
    <x:row r="19" ht="66" customHeight="1">
      <x:c r="A19" s="108" t="str">
        <x:v>Year 1</x:v>
      </x:c>
      <x:c r="B19" s="108" t="str">
        <x:v>Summer</x:v>
      </x:c>
      <x:c r="C19" s="109" t="str">
        <x:v>Third ancient language</x:v>
      </x:c>
      <x:c r="D19" s="110" t="str">
        <x:v>Latin preparation/competency</x:v>
      </x:c>
      <x:c r="E19" s="108" t="str">
        <x:v>Not assigned a universal course credit</x:v>
      </x:c>
      <x:c r="F19" s="108" t="str">
        <x:v>Recommended selection within required competency</x:v>
      </x:c>
      <x:c r="G19" s="108" t="str">
        <x:v>One additional ancient language from Aramaic, Syriac, Latin, or Coptic; Latin recommended.</x:v>
      </x:c>
      <x:c r="H19" s="108" t="str">
        <x:v>Supports historical interpretation.</x:v>
      </x:c>
      <x:c r="I19" s="108" t="str">
        <x:v>Demonstrate by exam or approved coursework.</x:v>
      </x:c>
      <x:c r="J19" s="108" t="str">
        <x:v>Latin is a permitted choice.</x:v>
      </x:c>
      <x:c r="K19" s="111" t="str">
        <x:v>https://ptsem.edu/academics/departments/biblical-studies/phd-program/</x:v>
      </x:c>
    </x:row>
    <x:row r="20" ht="66" customHeight="1">
      <x:c r="A20" s="84" t="str">
        <x:v>Year 2</x:v>
      </x:c>
      <x:c r="B20" s="84" t="str">
        <x:v>Fall</x:v>
      </x:c>
      <x:c r="C20" s="85" t="str">
        <x:v>Doctoral seminar</x:v>
      </x:c>
      <x:c r="D20" s="86" t="str">
        <x:v>5000/9000-level Doctoral Seminar/Elective II</x:v>
      </x:c>
      <x:c r="E20" s="84" t="str">
        <x:v>Not publicly fixed per seminar</x:v>
      </x:c>
      <x:c r="F20" s="84" t="str">
        <x:v>Advisor-selected doctoral seminar</x:v>
      </x:c>
      <x:c r="G20" s="84" t="str">
        <x:v>Approved seminar to develop field, methods, or dissertation direction.</x:v>
      </x:c>
      <x:c r="H20" s="84" t="str">
        <x:v>Continues doctoral residence.</x:v>
      </x:c>
      <x:c r="I20" s="84" t="str">
        <x:v>Committee approval.</x:v>
      </x:c>
      <x:c r="J20" s="84" t="str">
        <x:v>Exact title depends on offerings.</x:v>
      </x:c>
      <x:c r="K20" s="87" t="str">
        <x:v>https://ptsem.edu/academics/phd-studies/phd-program/</x:v>
      </x:c>
    </x:row>
    <x:row r="21" ht="66" customHeight="1">
      <x:c r="A21" s="92" t="str">
        <x:v>Year 2</x:v>
      </x:c>
      <x:c r="B21" s="92" t="str">
        <x:v>Fall</x:v>
      </x:c>
      <x:c r="C21" s="93" t="str">
        <x:v>Doctoral seminar</x:v>
      </x:c>
      <x:c r="D21" s="94" t="str">
        <x:v>5000/9000-level Doctoral Seminar/Elective III</x:v>
      </x:c>
      <x:c r="E21" s="92" t="str">
        <x:v>Not publicly fixed per seminar</x:v>
      </x:c>
      <x:c r="F21" s="92" t="str">
        <x:v>Advisor-selected doctoral seminar</x:v>
      </x:c>
      <x:c r="G21" s="92" t="str">
        <x:v>Second approved seminar in term.</x:v>
      </x:c>
      <x:c r="H21" s="92" t="str">
        <x:v>Builds breadth and specialization.</x:v>
      </x:c>
      <x:c r="I21" s="92" t="str">
        <x:v>Committee approval.</x:v>
      </x:c>
      <x:c r="J21" s="92" t="str">
        <x:v>Exact title varies.</x:v>
      </x:c>
      <x:c r="K21" s="95" t="str">
        <x:v>https://ptsem.edu/academics/phd-studies/phd-program/</x:v>
      </x:c>
    </x:row>
    <x:row r="22" ht="66" customHeight="1">
      <x:c r="A22" s="92" t="str">
        <x:v>Year 2</x:v>
      </x:c>
      <x:c r="B22" s="92" t="str">
        <x:v>Fall</x:v>
      </x:c>
      <x:c r="C22" s="93" t="str">
        <x:v>Doctoral seminar</x:v>
      </x:c>
      <x:c r="D22" s="94" t="str">
        <x:v>5000/9000-level Doctoral Seminar/Elective IV</x:v>
      </x:c>
      <x:c r="E22" s="92" t="str">
        <x:v>Not publicly fixed per seminar</x:v>
      </x:c>
      <x:c r="F22" s="92" t="str">
        <x:v>Advisor-selected doctoral seminar</x:v>
      </x:c>
      <x:c r="G22" s="92" t="str">
        <x:v>Third approved seminar in term.</x:v>
      </x:c>
      <x:c r="H22" s="92" t="str">
        <x:v>Maintains normal seminar load.</x:v>
      </x:c>
      <x:c r="I22" s="92" t="str">
        <x:v>Committee approval.</x:v>
      </x:c>
      <x:c r="J22" s="92" t="str">
        <x:v>Exact title varies.</x:v>
      </x:c>
      <x:c r="K22" s="95" t="str">
        <x:v>https://ptsem.edu/academics/phd-studies/phd-program/</x:v>
      </x:c>
    </x:row>
    <x:row r="23" ht="66" customHeight="1">
      <x:c r="A23" s="92" t="str">
        <x:v>Year 2</x:v>
      </x:c>
      <x:c r="B23" s="92" t="str">
        <x:v>Fall</x:v>
      </x:c>
      <x:c r="C23" s="93" t="str">
        <x:v>Departmental colloquium</x:v>
      </x:c>
      <x:c r="D23" s="94" t="str">
        <x:v>New Testament Research Colloquium III</x:v>
      </x:c>
      <x:c r="E23" s="92" t="str">
        <x:v>No universal public credit value stated</x:v>
      </x:c>
      <x:c r="F23" s="92" t="str">
        <x:v>Required during residence</x:v>
      </x:c>
      <x:c r="G23" s="92" t="str">
        <x:v>Continued participation in research colloquium.</x:v>
      </x:c>
      <x:c r="H23" s="92" t="str">
        <x:v>Prepares second-year paper.</x:v>
      </x:c>
      <x:c r="I23" s="92" t="str">
        <x:v>Attend and participate.</x:v>
      </x:c>
      <x:c r="J23" s="92" t="str">
        <x:v>Term sequence only.</x:v>
      </x:c>
      <x:c r="K23" s="95" t="str">
        <x:v>https://ptsem.edu/academics/departments/biblical-studies/phd-program/</x:v>
      </x:c>
    </x:row>
    <x:row r="24" ht="66" customHeight="1">
      <x:c r="A24" s="92" t="str">
        <x:v>Year 2</x:v>
      </x:c>
      <x:c r="B24" s="92" t="str">
        <x:v>Fall</x:v>
      </x:c>
      <x:c r="C24" s="93" t="str">
        <x:v>Program review</x:v>
      </x:c>
      <x:c r="D24" s="94" t="str">
        <x:v>First-year review and self-evaluation</x:v>
      </x:c>
      <x:c r="E24" s="92" t="str">
        <x:v>No course credit</x:v>
      </x:c>
      <x:c r="F24" s="92" t="str">
        <x:v>Required milestone</x:v>
      </x:c>
      <x:c r="G24" s="92" t="str">
        <x:v>First-year review and self-evaluation.</x:v>
      </x:c>
      <x:c r="H24" s="92" t="str">
        <x:v>Confirms progress.</x:v>
      </x:c>
      <x:c r="I24" s="92" t="str">
        <x:v>Complete according to procedures.</x:v>
      </x:c>
      <x:c r="J24" s="92" t="str">
        <x:v>Milestone.</x:v>
      </x:c>
      <x:c r="K24" s="95" t="str">
        <x:v>https://ptsem.edu/academics/phd-studies/phd-program/</x:v>
      </x:c>
    </x:row>
    <x:row r="25" ht="66" customHeight="1">
      <x:c r="A25" s="100" t="str">
        <x:v>Year 2</x:v>
      </x:c>
      <x:c r="B25" s="100" t="str">
        <x:v>Spring</x:v>
      </x:c>
      <x:c r="C25" s="101" t="str">
        <x:v>Doctoral seminar</x:v>
      </x:c>
      <x:c r="D25" s="102" t="str">
        <x:v>5000/9000-level Doctoral Seminar/Elective V</x:v>
      </x:c>
      <x:c r="E25" s="100" t="str">
        <x:v>Not publicly fixed per seminar</x:v>
      </x:c>
      <x:c r="F25" s="100" t="str">
        <x:v>Advisor-selected doctoral seminar</x:v>
      </x:c>
      <x:c r="G25" s="100" t="str">
        <x:v>Approved seminar from current offerings.</x:v>
      </x:c>
      <x:c r="H25" s="100" t="str">
        <x:v>Advances specialization.</x:v>
      </x:c>
      <x:c r="I25" s="100" t="str">
        <x:v>Committee approval.</x:v>
      </x:c>
      <x:c r="J25" s="100" t="str">
        <x:v>Exact title varies.</x:v>
      </x:c>
      <x:c r="K25" s="103" t="str">
        <x:v>https://ptsem.edu/academics/phd-studies/phd-program/</x:v>
      </x:c>
    </x:row>
    <x:row r="26" ht="66" customHeight="1">
      <x:c r="A26" s="108" t="str">
        <x:v>Year 2</x:v>
      </x:c>
      <x:c r="B26" s="108" t="str">
        <x:v>Spring</x:v>
      </x:c>
      <x:c r="C26" s="109" t="str">
        <x:v>Doctoral seminar</x:v>
      </x:c>
      <x:c r="D26" s="110" t="str">
        <x:v>5000/9000-level Doctoral Seminar/Elective VI</x:v>
      </x:c>
      <x:c r="E26" s="108" t="str">
        <x:v>Not publicly fixed per seminar</x:v>
      </x:c>
      <x:c r="F26" s="108" t="str">
        <x:v>Advisor-selected doctoral seminar</x:v>
      </x:c>
      <x:c r="G26" s="108" t="str">
        <x:v>Second approved seminar in term.</x:v>
      </x:c>
      <x:c r="H26" s="108" t="str">
        <x:v>Completes remaining preparation.</x:v>
      </x:c>
      <x:c r="I26" s="108" t="str">
        <x:v>Committee approval.</x:v>
      </x:c>
      <x:c r="J26" s="108" t="str">
        <x:v>Exact title varies.</x:v>
      </x:c>
      <x:c r="K26" s="111" t="str">
        <x:v>https://ptsem.edu/academics/phd-studies/phd-program/</x:v>
      </x:c>
    </x:row>
    <x:row r="27" ht="66" customHeight="1">
      <x:c r="A27" s="108" t="str">
        <x:v>Year 2</x:v>
      </x:c>
      <x:c r="B27" s="108" t="str">
        <x:v>Spring</x:v>
      </x:c>
      <x:c r="C27" s="109" t="str">
        <x:v>Doctoral seminar</x:v>
      </x:c>
      <x:c r="D27" s="110" t="str">
        <x:v>5000/9000-level Doctoral Seminar/Elective VII</x:v>
      </x:c>
      <x:c r="E27" s="108" t="str">
        <x:v>Not publicly fixed per seminar</x:v>
      </x:c>
      <x:c r="F27" s="108" t="str">
        <x:v>Advisor-selected doctoral seminar</x:v>
      </x:c>
      <x:c r="G27" s="108" t="str">
        <x:v>Third approved seminar in term.</x:v>
      </x:c>
      <x:c r="H27" s="108" t="str">
        <x:v>Brings second-year plan to ordinary six-course load.</x:v>
      </x:c>
      <x:c r="I27" s="108" t="str">
        <x:v>Committee approval.</x:v>
      </x:c>
      <x:c r="J27" s="108" t="str">
        <x:v>Exact title varies.</x:v>
      </x:c>
      <x:c r="K27" s="111" t="str">
        <x:v>https://ptsem.edu/academics/phd-studies/phd-program/</x:v>
      </x:c>
    </x:row>
    <x:row r="28" ht="66" customHeight="1">
      <x:c r="A28" s="108" t="str">
        <x:v>Year 2</x:v>
      </x:c>
      <x:c r="B28" s="108" t="str">
        <x:v>Spring</x:v>
      </x:c>
      <x:c r="C28" s="109" t="str">
        <x:v>Departmental colloquium</x:v>
      </x:c>
      <x:c r="D28" s="110" t="str">
        <x:v>New Testament Research Colloquium IV</x:v>
      </x:c>
      <x:c r="E28" s="108" t="str">
        <x:v>No universal public credit value stated</x:v>
      </x:c>
      <x:c r="F28" s="108" t="str">
        <x:v>Required during residence</x:v>
      </x:c>
      <x:c r="G28" s="108" t="str">
        <x:v>Final normal residence term of colloquium.</x:v>
      </x:c>
      <x:c r="H28" s="108" t="str">
        <x:v>Includes second-year paper.</x:v>
      </x:c>
      <x:c r="I28" s="108" t="str">
        <x:v>Present paper.</x:v>
      </x:c>
      <x:c r="J28" s="108" t="str">
        <x:v>Term sequence only.</x:v>
      </x:c>
      <x:c r="K28" s="111" t="str">
        <x:v>https://ptsem.edu/academics/departments/biblical-studies/phd-program/</x:v>
      </x:c>
    </x:row>
    <x:row r="29" ht="66" customHeight="1">
      <x:c r="A29" s="108" t="str">
        <x:v>Year 2</x:v>
      </x:c>
      <x:c r="B29" s="108" t="str">
        <x:v>Spring</x:v>
      </x:c>
      <x:c r="C29" s="109" t="str">
        <x:v>Dissertation planning</x:v>
      </x:c>
      <x:c r="D29" s="110" t="str">
        <x:v>Dissertation topic statement</x:v>
      </x:c>
      <x:c r="E29" s="108" t="str">
        <x:v>No course credit</x:v>
      </x:c>
      <x:c r="F29" s="108" t="str">
        <x:v>Required milestone</x:v>
      </x:c>
      <x:c r="G29" s="108" t="str">
        <x:v>Submit dissertation topic statement in February of second year.</x:v>
      </x:c>
      <x:c r="H29" s="108" t="str">
        <x:v>Defines dissertation field.</x:v>
      </x:c>
      <x:c r="I29" s="108" t="str">
        <x:v>Meet deadline.</x:v>
      </x:c>
      <x:c r="J29" s="108" t="str">
        <x:v>Milestone.</x:v>
      </x:c>
      <x:c r="K29" s="111" t="str">
        <x:v>https://ptsem.edu/academics/departments/biblical-studies/phd-program/</x:v>
      </x:c>
    </x:row>
    <x:row r="30" ht="66" customHeight="1">
      <x:c r="A30" s="108" t="str">
        <x:v>Year 2</x:v>
      </x:c>
      <x:c r="B30" s="108" t="str">
        <x:v>Spring</x:v>
      </x:c>
      <x:c r="C30" s="109" t="str">
        <x:v>Language examination</x:v>
      </x:c>
      <x:c r="D30" s="110" t="str">
        <x:v>Septuagint Greek competency examination</x:v>
      </x:c>
      <x:c r="E30" s="108" t="str">
        <x:v>Examination; no course credit</x:v>
      </x:c>
      <x:c r="F30" s="108" t="str">
        <x:v>Required examination</x:v>
      </x:c>
      <x:c r="G30" s="108" t="str">
        <x:v>Septuagint Greek exam in May of second year.</x:v>
      </x:c>
      <x:c r="H30" s="108" t="str">
        <x:v>Demonstrates LXX competence.</x:v>
      </x:c>
      <x:c r="I30" s="108" t="str">
        <x:v>Pass exam.</x:v>
      </x:c>
      <x:c r="J30" s="108" t="str">
        <x:v>Exam.</x:v>
      </x:c>
      <x:c r="K30" s="111" t="str">
        <x:v>https://ptsem.edu/academics/departments/biblical-studies/phd-program/</x:v>
      </x:c>
    </x:row>
    <x:row r="31" ht="66" customHeight="1">
      <x:c r="A31" s="108" t="str">
        <x:v>Year 2</x:v>
      </x:c>
      <x:c r="B31" s="108" t="str">
        <x:v>Spring</x:v>
      </x:c>
      <x:c r="C31" s="109" t="str">
        <x:v>Ancient-language competencies</x:v>
      </x:c>
      <x:c r="D31" s="110" t="str">
        <x:v>Hebrew and third ancient language competency</x:v>
      </x:c>
      <x:c r="E31" s="108" t="str">
        <x:v>Examination/coursework; no universal credit</x:v>
      </x:c>
      <x:c r="F31" s="108" t="str">
        <x:v>Required competency</x:v>
      </x:c>
      <x:c r="G31" s="108" t="str">
        <x:v>Demonstrate Hebrew and one additional ancient language.</x:v>
      </x:c>
      <x:c r="H31" s="108" t="str">
        <x:v>Completes ancient-language expectations.</x:v>
      </x:c>
      <x:c r="I31" s="108" t="str">
        <x:v>Program-approved method.</x:v>
      </x:c>
      <x:c r="J31" s="108" t="str">
        <x:v>Individualized.</x:v>
      </x:c>
      <x:c r="K31" s="111" t="str">
        <x:v>https://ptsem.edu/academics/departments/biblical-studies/phd-program/</x:v>
      </x:c>
    </x:row>
    <x:row r="32" ht="66" customHeight="1">
      <x:c r="A32" s="108" t="str">
        <x:v>Year 2</x:v>
      </x:c>
      <x:c r="B32" s="108" t="str">
        <x:v>Spring</x:v>
      </x:c>
      <x:c r="C32" s="109" t="str">
        <x:v>Program review</x:v>
      </x:c>
      <x:c r="D32" s="110" t="str">
        <x:v>Second-year review</x:v>
      </x:c>
      <x:c r="E32" s="108" t="str">
        <x:v>No course credit</x:v>
      </x:c>
      <x:c r="F32" s="108" t="str">
        <x:v>Required milestone</x:v>
      </x:c>
      <x:c r="G32" s="108" t="str">
        <x:v>Residence committee evaluates progress.</x:v>
      </x:c>
      <x:c r="H32" s="108" t="str">
        <x:v>Determines readiness for comprehensives.</x:v>
      </x:c>
      <x:c r="I32" s="108" t="str">
        <x:v>Complete review.</x:v>
      </x:c>
      <x:c r="J32" s="108" t="str">
        <x:v>Milestone.</x:v>
      </x:c>
      <x:c r="K32" s="111" t="str">
        <x:v>https://ptsem.edu/academics/phd-studies/phd-program/</x:v>
      </x:c>
    </x:row>
    <x:row r="33" ht="66" customHeight="1">
      <x:c r="A33" s="84" t="str">
        <x:v>Year 3</x:v>
      </x:c>
      <x:c r="B33" s="84" t="str">
        <x:v>Fall</x:v>
      </x:c>
      <x:c r="C33" s="85" t="str">
        <x:v>Comprehensive examination</x:v>
      </x:c>
      <x:c r="D33" s="86" t="str">
        <x:v>Gospels and Acts</x:v>
      </x:c>
      <x:c r="E33" s="84" t="str">
        <x:v>Examination; no course credit</x:v>
      </x:c>
      <x:c r="F33" s="84" t="str">
        <x:v>Required written comprehensive exam</x:v>
      </x:c>
      <x:c r="G33" s="84" t="str">
        <x:v>Written comprehensive field in Gospels and Acts.</x:v>
      </x:c>
      <x:c r="H33" s="84" t="str">
        <x:v>Tests broad command.</x:v>
      </x:c>
      <x:c r="I33" s="84" t="str">
        <x:v>Complete during exam period.</x:v>
      </x:c>
      <x:c r="J33" s="84" t="str">
        <x:v>Exam.</x:v>
      </x:c>
      <x:c r="K33" s="87" t="str">
        <x:v>https://ptsem.edu/academics/departments/biblical-studies/phd-program/</x:v>
      </x:c>
    </x:row>
    <x:row r="34" ht="66" customHeight="1">
      <x:c r="A34" s="92" t="str">
        <x:v>Year 3</x:v>
      </x:c>
      <x:c r="B34" s="92" t="str">
        <x:v>Fall</x:v>
      </x:c>
      <x:c r="C34" s="93" t="str">
        <x:v>Comprehensive examination</x:v>
      </x:c>
      <x:c r="D34" s="94" t="str">
        <x:v>Epistles and Apocalypse</x:v>
      </x:c>
      <x:c r="E34" s="92" t="str">
        <x:v>Examination; no course credit</x:v>
      </x:c>
      <x:c r="F34" s="92" t="str">
        <x:v>Required written comprehensive exam</x:v>
      </x:c>
      <x:c r="G34" s="92" t="str">
        <x:v>Written comprehensive field in Epistles and Apocalypse.</x:v>
      </x:c>
      <x:c r="H34" s="92" t="str">
        <x:v>Tests broad command.</x:v>
      </x:c>
      <x:c r="I34" s="92" t="str">
        <x:v>Complete during exam period.</x:v>
      </x:c>
      <x:c r="J34" s="92" t="str">
        <x:v>Exam.</x:v>
      </x:c>
      <x:c r="K34" s="95" t="str">
        <x:v>https://ptsem.edu/academics/departments/biblical-studies/phd-program/</x:v>
      </x:c>
    </x:row>
    <x:row r="35" ht="66" customHeight="1">
      <x:c r="A35" s="92" t="str">
        <x:v>Year 3</x:v>
      </x:c>
      <x:c r="B35" s="92" t="str">
        <x:v>Fall</x:v>
      </x:c>
      <x:c r="C35" s="93" t="str">
        <x:v>Comprehensive examination</x:v>
      </x:c>
      <x:c r="D35" s="94" t="str">
        <x:v>Historical Contexts</x:v>
      </x:c>
      <x:c r="E35" s="92" t="str">
        <x:v>Examination; no course credit</x:v>
      </x:c>
      <x:c r="F35" s="92" t="str">
        <x:v>Required written comprehensive exam</x:v>
      </x:c>
      <x:c r="G35" s="92" t="str">
        <x:v>Written comprehensive field in historical contexts.</x:v>
      </x:c>
      <x:c r="H35" s="92" t="str">
        <x:v>Tests Greco-Roman and Jewish context competence.</x:v>
      </x:c>
      <x:c r="I35" s="92" t="str">
        <x:v>Complete during exam period.</x:v>
      </x:c>
      <x:c r="J35" s="92" t="str">
        <x:v>Exam.</x:v>
      </x:c>
      <x:c r="K35" s="95" t="str">
        <x:v>https://ptsem.edu/academics/departments/biblical-studies/phd-program/</x:v>
      </x:c>
    </x:row>
    <x:row r="36" ht="66" customHeight="1">
      <x:c r="A36" s="92" t="str">
        <x:v>Year 3</x:v>
      </x:c>
      <x:c r="B36" s="92" t="str">
        <x:v>Fall</x:v>
      </x:c>
      <x:c r="C36" s="93" t="str">
        <x:v>Comprehensive examination</x:v>
      </x:c>
      <x:c r="D36" s="94" t="str">
        <x:v>Special Research Area</x:v>
      </x:c>
      <x:c r="E36" s="92" t="str">
        <x:v>Examination; no course credit</x:v>
      </x:c>
      <x:c r="F36" s="92" t="str">
        <x:v>Required written comprehensive exam</x:v>
      </x:c>
      <x:c r="G36" s="92" t="str">
        <x:v>Comprehensive field tailored to dissertation specialization.</x:v>
      </x:c>
      <x:c r="H36" s="92" t="str">
        <x:v>Tests depth in research area.</x:v>
      </x:c>
      <x:c r="I36" s="92" t="str">
        <x:v>Area approved by department.</x:v>
      </x:c>
      <x:c r="J36" s="92" t="str">
        <x:v>Exam.</x:v>
      </x:c>
      <x:c r="K36" s="95" t="str">
        <x:v>https://ptsem.edu/academics/departments/biblical-studies/phd-program/</x:v>
      </x:c>
    </x:row>
    <x:row r="37" ht="66" customHeight="1">
      <x:c r="A37" s="92" t="str">
        <x:v>Year 3</x:v>
      </x:c>
      <x:c r="B37" s="92" t="str">
        <x:v>Fall</x:v>
      </x:c>
      <x:c r="C37" s="93" t="str">
        <x:v>Comprehensive examination</x:v>
      </x:c>
      <x:c r="D37" s="94" t="str">
        <x:v>Oral defense of comprehensive examinations</x:v>
      </x:c>
      <x:c r="E37" s="92" t="str">
        <x:v>Examination; no course credit</x:v>
      </x:c>
      <x:c r="F37" s="92" t="str">
        <x:v>Required oral examination</x:v>
      </x:c>
      <x:c r="G37" s="92" t="str">
        <x:v>Oral examination after written comprehensives.</x:v>
      </x:c>
      <x:c r="H37" s="92" t="str">
        <x:v>Integrates written work.</x:v>
      </x:c>
      <x:c r="I37" s="92" t="str">
        <x:v>Pass written exams first.</x:v>
      </x:c>
      <x:c r="J37" s="92" t="str">
        <x:v>Exam.</x:v>
      </x:c>
      <x:c r="K37" s="95" t="str">
        <x:v>https://ptsem.edu/academics/departments/biblical-studies/phd-program/</x:v>
      </x:c>
    </x:row>
    <x:row r="38" ht="66" customHeight="1">
      <x:c r="A38" s="92" t="str">
        <x:v>Year 3</x:v>
      </x:c>
      <x:c r="B38" s="92" t="str">
        <x:v>Fall</x:v>
      </x:c>
      <x:c r="C38" s="93" t="str">
        <x:v>Dissertation development</x:v>
      </x:c>
      <x:c r="D38" s="94" t="str">
        <x:v>Dissertation committee formation and proposal development</x:v>
      </x:c>
      <x:c r="E38" s="92" t="str">
        <x:v>No course credit</x:v>
      </x:c>
      <x:c r="F38" s="92" t="str">
        <x:v>Required milestone</x:v>
      </x:c>
      <x:c r="G38" s="92" t="str">
        <x:v>Form dissertation committee and develop proposal.</x:v>
      </x:c>
      <x:c r="H38" s="92" t="str">
        <x:v>Transitions to original research.</x:v>
      </x:c>
      <x:c r="I38" s="92" t="str">
        <x:v>Successful comprehensives.</x:v>
      </x:c>
      <x:c r="J38" s="92" t="str">
        <x:v>Milestone.</x:v>
      </x:c>
      <x:c r="K38" s="95" t="str">
        <x:v>https://ptsem.edu/academics/phd-studies/phd-program/</x:v>
      </x:c>
    </x:row>
    <x:row r="39" ht="66" customHeight="1">
      <x:c r="A39" s="100" t="str">
        <x:v>Year 3</x:v>
      </x:c>
      <x:c r="B39" s="100" t="str">
        <x:v>Spring</x:v>
      </x:c>
      <x:c r="C39" s="101" t="str">
        <x:v>Dissertation milestone</x:v>
      </x:c>
      <x:c r="D39" s="102" t="str">
        <x:v>Dissertation proposal approval</x:v>
      </x:c>
      <x:c r="E39" s="100" t="str">
        <x:v>No course credit</x:v>
      </x:c>
      <x:c r="F39" s="100" t="str">
        <x:v>Required milestone</x:v>
      </x:c>
      <x:c r="G39" s="100" t="str">
        <x:v>Proposal approved by final PhD Studies Committee meeting of third year.</x:v>
      </x:c>
      <x:c r="H39" s="100" t="str">
        <x:v>Authorizes full research.</x:v>
      </x:c>
      <x:c r="I39" s="100" t="str">
        <x:v>Approved committee and comprehensives.</x:v>
      </x:c>
      <x:c r="J39" s="100" t="str">
        <x:v>Milestone.</x:v>
      </x:c>
      <x:c r="K39" s="103" t="str">
        <x:v>https://ptsem.edu/academics/phd-studies/phd-program/</x:v>
      </x:c>
    </x:row>
    <x:row r="40" ht="66" customHeight="1">
      <x:c r="A40" s="108" t="str">
        <x:v>Year 3</x:v>
      </x:c>
      <x:c r="B40" s="108" t="str">
        <x:v>Spring</x:v>
      </x:c>
      <x:c r="C40" s="109" t="str">
        <x:v>Dissertation research</x:v>
      </x:c>
      <x:c r="D40" s="110" t="str">
        <x:v>Initial dissertation research and writing</x:v>
      </x:c>
      <x:c r="E40" s="108" t="str">
        <x:v>No universal course credit stated</x:v>
      </x:c>
      <x:c r="F40" s="108" t="str">
        <x:v>Required doctoral work</x:v>
      </x:c>
      <x:c r="G40" s="108" t="str">
        <x:v>Begins sustained dissertation research and writing.</x:v>
      </x:c>
      <x:c r="H40" s="108" t="str">
        <x:v>Starts original contribution.</x:v>
      </x:c>
      <x:c r="I40" s="108" t="str">
        <x:v>Approved proposal.</x:v>
      </x:c>
      <x:c r="J40" s="108" t="str">
        <x:v>No universal registration title.</x:v>
      </x:c>
      <x:c r="K40" s="111" t="str">
        <x:v>https://ptsem.edu/academics/phd-studies/phd-program/</x:v>
      </x:c>
    </x:row>
    <x:row r="41" ht="66" customHeight="1">
      <x:c r="A41" s="84" t="str">
        <x:v>Year 4</x:v>
      </x:c>
      <x:c r="B41" s="84" t="str">
        <x:v>Fall</x:v>
      </x:c>
      <x:c r="C41" s="85" t="str">
        <x:v>Dissertation research</x:v>
      </x:c>
      <x:c r="D41" s="86" t="str">
        <x:v>Dissertation research and writing</x:v>
      </x:c>
      <x:c r="E41" s="84" t="str">
        <x:v>No universal course credit stated</x:v>
      </x:c>
      <x:c r="F41" s="84" t="str">
        <x:v>Required doctoral work</x:v>
      </x:c>
      <x:c r="G41" s="84" t="str">
        <x:v>Full-time dissertation research and writing.</x:v>
      </x:c>
      <x:c r="H41" s="84" t="str">
        <x:v>Develops chapters and argument.</x:v>
      </x:c>
      <x:c r="I41" s="84" t="str">
        <x:v>Maintain satisfactory progress.</x:v>
      </x:c>
      <x:c r="J41" s="84" t="str">
        <x:v>No fabricated seminar title.</x:v>
      </x:c>
      <x:c r="K41" s="87" t="str">
        <x:v>https://ptsem.edu/academics/phd-studies/phd-program/</x:v>
      </x:c>
    </x:row>
    <x:row r="42" ht="66" customHeight="1">
      <x:c r="A42" s="100" t="str">
        <x:v>Year 4</x:v>
      </x:c>
      <x:c r="B42" s="100" t="str">
        <x:v>Spring</x:v>
      </x:c>
      <x:c r="C42" s="101" t="str">
        <x:v>Dissertation research</x:v>
      </x:c>
      <x:c r="D42" s="102" t="str">
        <x:v>Dissertation research and writing</x:v>
      </x:c>
      <x:c r="E42" s="100" t="str">
        <x:v>No universal course credit stated</x:v>
      </x:c>
      <x:c r="F42" s="100" t="str">
        <x:v>Required doctoral work</x:v>
      </x:c>
      <x:c r="G42" s="100" t="str">
        <x:v>Continues dissertation research, drafting, and revision.</x:v>
      </x:c>
      <x:c r="H42" s="100" t="str">
        <x:v>Moves toward complete draft.</x:v>
      </x:c>
      <x:c r="I42" s="100" t="str">
        <x:v>Maintain satisfactory progress.</x:v>
      </x:c>
      <x:c r="J42" s="100" t="str">
        <x:v>Teaching may also apply.</x:v>
      </x:c>
      <x:c r="K42" s="103" t="str">
        <x:v>https://ptsem.edu/academics/phd-studies/phd-program/</x:v>
      </x:c>
    </x:row>
    <x:row r="43" ht="66" customHeight="1">
      <x:c r="A43" s="84" t="str">
        <x:v>Year 5</x:v>
      </x:c>
      <x:c r="B43" s="84" t="str">
        <x:v>Fall</x:v>
      </x:c>
      <x:c r="C43" s="85" t="str">
        <x:v>Dissertation completion</x:v>
      </x:c>
      <x:c r="D43" s="86" t="str">
        <x:v>Dissertation completion and external review preparation</x:v>
      </x:c>
      <x:c r="E43" s="84" t="str">
        <x:v>No universal course credit stated</x:v>
      </x:c>
      <x:c r="F43" s="84" t="str">
        <x:v>Required doctoral work</x:v>
      </x:c>
      <x:c r="G43" s="84" t="str">
        <x:v>Completes and revises dissertation for review.</x:v>
      </x:c>
      <x:c r="H43" s="84" t="str">
        <x:v>Prepares for final examination.</x:v>
      </x:c>
      <x:c r="I43" s="84" t="str">
        <x:v>Meet deadlines.</x:v>
      </x:c>
      <x:c r="J43" s="84" t="str">
        <x:v>Registration notation may vary.</x:v>
      </x:c>
      <x:c r="K43" s="87" t="str">
        <x:v>https://ptsem.edu/academics/phd-studies/phd-program/</x:v>
      </x:c>
    </x:row>
    <x:row r="44" ht="66" customHeight="1">
      <x:c r="A44" s="100" t="str">
        <x:v>Year 5</x:v>
      </x:c>
      <x:c r="B44" s="100" t="str">
        <x:v>Spring</x:v>
      </x:c>
      <x:c r="C44" s="101" t="str">
        <x:v>Final examination</x:v>
      </x:c>
      <x:c r="D44" s="102" t="str">
        <x:v>Dissertation defense and final submission</x:v>
      </x:c>
      <x:c r="E44" s="100" t="str">
        <x:v>No course credit</x:v>
      </x:c>
      <x:c r="F44" s="100" t="str">
        <x:v>Required final milestone</x:v>
      </x:c>
      <x:c r="G44" s="100" t="str">
        <x:v>Defends dissertation and submits approved final version.</x:v>
      </x:c>
      <x:c r="H44" s="100" t="str">
        <x:v>Completes PhD.</x:v>
      </x:c>
      <x:c r="I44" s="100" t="str">
        <x:v>Successful defense and submission.</x:v>
      </x:c>
      <x:c r="J44" s="100" t="str">
        <x:v>Milestone.</x:v>
      </x:c>
      <x:c r="K44" s="103" t="str">
        <x:v>https://ptsem.edu/academics/phd-studies/phd-program/</x:v>
      </x:c>
    </x:row>
    <x:row r="46">
      <x:c r="A46" s="134" t="str">
        <x:v>Credit total is intentionally not calculated: Princeton's public PhD requirements do not publish one universal per-seminar credit schedule or a single fixed named-course plan for all New Testament students.</x:v>
      </x:c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</x:row>
  </x:sheetData>
  <x:mergeCells>
    <x:mergeCell ref="A1:K1"/>
    <x:mergeCell ref="A2:K2"/>
    <x:mergeCell ref="A46:K4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25" hidden="0" customWidth="1"/>
    <x:col min="4" max="4" width="21" hidden="0" customWidth="1"/>
    <x:col min="5" max="5" width="36" hidden="0" customWidth="1"/>
    <x:col min="6" max="6" width="10" hidden="0" customWidth="1"/>
    <x:col min="7" max="7" width="48" hidden="0" customWidth="1"/>
    <x:col min="8" max="8" width="44" hidden="0" customWidth="1"/>
    <x:col min="9" max="9" width="42" hidden="0" customWidth="1"/>
  </x:cols>
  <x:sheetData>
    <x:row r="1" ht="28" customHeight="1">
      <x:c r="A1" s="4" t="str">
        <x:v>Wheaton College — Alternatives for Discretionary Selections</x:v>
      </x:c>
      <x:c r="B1" s="4"/>
      <x:c r="C1" s="4"/>
      <x:c r="D1" s="4"/>
      <x:c r="E1" s="4"/>
      <x:c r="F1" s="4"/>
      <x:c r="G1" s="4"/>
      <x:c r="H1" s="4"/>
      <x:c r="I1" s="4"/>
    </x:row>
    <x:row r="2" ht="44" customHeight="1">
      <x:c r="A2" s="11" t="str">
        <x:v>Catalog-listed alternatives retained from the earlier plan.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1" t="str">
        <x:v>Selected Code</x:v>
      </x:c>
      <x:c r="B4" s="21" t="str">
        <x:v>Selected Title</x:v>
      </x:c>
      <x:c r="C4" s="21" t="str">
        <x:v>Requirement Role</x:v>
      </x:c>
      <x:c r="D4" s="21" t="str">
        <x:v>Alternative Code</x:v>
      </x:c>
      <x:c r="E4" s="21" t="str">
        <x:v>Alternative Exact Catalog Title</x:v>
      </x:c>
      <x:c r="F4" s="21" t="str">
        <x:v>Credits</x:v>
      </x:c>
      <x:c r="G4" s="21" t="str">
        <x:v>Catalog-Based Alternative Description</x:v>
      </x:c>
      <x:c r="H4" s="21" t="str">
        <x:v>Tradeoff / Schedule Impact</x:v>
      </x:c>
      <x:c r="I4" s="21" t="str">
        <x:v>Official Catalog Source</x:v>
      </x:c>
    </x:row>
    <x:row r="5" ht="62" customHeight="1">
      <x:c r="A5" s="92" t="str">
        <x:v>PHIL 101</x:v>
      </x:c>
      <x:c r="B5" s="92" t="str">
        <x:v>Introduction to Philosophy</x:v>
      </x:c>
      <x:c r="C5" s="92" t="str">
        <x:v>Thematic Core choice</x:v>
      </x:c>
      <x:c r="D5" s="92" t="str">
        <x:v>PHIL 106</x:v>
      </x:c>
      <x:c r="E5" s="92" t="str">
        <x:v>Global Philosophy</x:v>
      </x:c>
      <x:c r="F5" s="92" t="n">
        <x:v>4</x:v>
      </x:c>
      <x:c r="G5" s="92" t="str">
        <x:v>Introduces philosophy through traditions and thinkers from multiple regions and cultures.</x:v>
      </x:c>
      <x:c r="H5" s="92" t="str">
        <x:v>Preserves introductory philosophy while providing broader global coverage.</x:v>
      </x:c>
      <x:c r="I5" s="136" t="str">
        <x:v>https://catalog.wheaton.edu/course-descriptions/phil/</x:v>
      </x:c>
    </x:row>
    <x:row r="6" ht="62" customHeight="1">
      <x:c r="A6" s="108" t="str">
        <x:v>HEBR 101</x:v>
      </x:c>
      <x:c r="B6" s="108" t="str">
        <x:v>Elementary Hebrew I</x:v>
      </x:c>
      <x:c r="C6" s="108" t="str">
        <x:v>Supporting elective</x:v>
      </x:c>
      <x:c r="D6" s="108" t="str">
        <x:v>LATN 101</x:v>
      </x:c>
      <x:c r="E6" s="108" t="str">
        <x:v>Elementary Latin I</x:v>
      </x:c>
      <x:c r="F6" s="108" t="n">
        <x:v>4</x:v>
      </x:c>
      <x:c r="G6" s="108" t="str">
        <x:v>Begins Latin grammar, vocabulary, syntax, and reading.</x:v>
      </x:c>
      <x:c r="H6" s="108" t="str">
        <x:v>Useful for patristic, medieval, and Reformation studies, but sacrifices first Hebrew semester.</x:v>
      </x:c>
      <x:c r="I6" s="138" t="str">
        <x:v>https://catalog.wheaton.edu/course-descriptions/latn/</x:v>
      </x:c>
    </x:row>
    <x:row r="7" ht="62" customHeight="1">
      <x:c r="A7" s="92" t="str">
        <x:v>PHIL 245</x:v>
      </x:c>
      <x:c r="B7" s="92" t="str">
        <x:v>Logic</x:v>
      </x:c>
      <x:c r="C7" s="92" t="str">
        <x:v>Thematic Core choice</x:v>
      </x:c>
      <x:c r="D7" s="92" t="str">
        <x:v>PHIL 243 + PHIL 244</x:v>
      </x:c>
      <x:c r="E7" s="92" t="str">
        <x:v>Introduction to Logic + Symbolic Logic</x:v>
      </x:c>
      <x:c r="F7" s="92" t="n">
        <x:v>4</x:v>
      </x:c>
      <x:c r="G7" s="92" t="str">
        <x:v>Two-course logic sequence covering introductory reasoning and formal symbolic methods.</x:v>
      </x:c>
      <x:c r="H7" s="92" t="str">
        <x:v>More segmented logic sequence.</x:v>
      </x:c>
      <x:c r="I7" s="136" t="str">
        <x:v>https://catalog.wheaton.edu/course-descriptions/phil/</x:v>
      </x:c>
    </x:row>
    <x:row r="8" ht="62" customHeight="1">
      <x:c r="A8" s="108" t="str">
        <x:v>HEBR 102</x:v>
      </x:c>
      <x:c r="B8" s="108" t="str">
        <x:v>Elementary Hebrew II</x:v>
      </x:c>
      <x:c r="C8" s="108" t="str">
        <x:v>Supporting elective</x:v>
      </x:c>
      <x:c r="D8" s="108" t="str">
        <x:v>LATN 102</x:v>
      </x:c>
      <x:c r="E8" s="108" t="str">
        <x:v>Elementary Latin II</x:v>
      </x:c>
      <x:c r="F8" s="108" t="n">
        <x:v>4</x:v>
      </x:c>
      <x:c r="G8" s="108" t="str">
        <x:v>Continues elementary Latin.</x:v>
      </x:c>
      <x:c r="H8" s="108" t="str">
        <x:v>Use only with LATN 101; replacing Hebrew weakens biblical studies preparation.</x:v>
      </x:c>
      <x:c r="I8" s="138" t="str">
        <x:v>https://catalog.wheaton.edu/course-descriptions/latn/</x:v>
      </x:c>
    </x:row>
    <x:row r="9" ht="62" customHeight="1">
      <x:c r="A9" s="92" t="str">
        <x:v>HEBR 201</x:v>
      </x:c>
      <x:c r="B9" s="92" t="str">
        <x:v>Intermediate Hebrew</x:v>
      </x:c>
      <x:c r="C9" s="92" t="str">
        <x:v>Supporting elective</x:v>
      </x:c>
      <x:c r="D9" s="92" t="str">
        <x:v>LATN 201</x:v>
      </x:c>
      <x:c r="E9" s="92" t="str">
        <x:v>Intermediate Latin</x:v>
      </x:c>
      <x:c r="F9" s="92" t="n">
        <x:v>4</x:v>
      </x:c>
      <x:c r="G9" s="92" t="str">
        <x:v>Advances Latin reading and interpretation.</x:v>
      </x:c>
      <x:c r="H9" s="92" t="str">
        <x:v>Replacing Hebrew reduces readiness for biblical-studies doctorates.</x:v>
      </x:c>
      <x:c r="I9" s="136" t="str">
        <x:v>https://catalog.wheaton.edu/course-descriptions/latn/</x:v>
      </x:c>
    </x:row>
    <x:row r="10" ht="62" customHeight="1">
      <x:c r="A10" s="108" t="str">
        <x:v>GREK 346</x:v>
      </x:c>
      <x:c r="B10" s="108" t="str">
        <x:v>Readings in Paul and the Apostolic Fathers</x:v>
      </x:c>
      <x:c r="C10" s="108" t="str">
        <x:v>Upper-division Greek choice</x:v>
      </x:c>
      <x:c r="D10" s="108" t="str">
        <x:v>GREK 343</x:v>
      </x:c>
      <x:c r="E10" s="108" t="str">
        <x:v>Septuagint</x:v>
      </x:c>
      <x:c r="F10" s="108" t="n">
        <x:v>4</x:v>
      </x:c>
      <x:c r="G10" s="108" t="str">
        <x:v>Reads the Greek Old Testament.</x:v>
      </x:c>
      <x:c r="H10" s="108" t="str">
        <x:v>Strong bridge between Greek and Hebrew Bible study.</x:v>
      </x:c>
      <x:c r="I10" s="138" t="str">
        <x:v>https://catalog.wheaton.edu/course-descriptions/grek/</x:v>
      </x:c>
    </x:row>
    <x:row r="11" ht="62" customHeight="1">
      <x:c r="A11" s="92" t="str">
        <x:v>PHIL 311</x:v>
      </x:c>
      <x:c r="B11" s="92" t="str">
        <x:v>History of Philosophy - Ancient and Medieval</x:v>
      </x:c>
      <x:c r="C11" s="92" t="str">
        <x:v>Supporting elective</x:v>
      </x:c>
      <x:c r="D11" s="92" t="str">
        <x:v>PHIL 312</x:v>
      </x:c>
      <x:c r="E11" s="92" t="str">
        <x:v>History of Philosophy - Modern &amp; Contemporary</x:v>
      </x:c>
      <x:c r="F11" s="92" t="n">
        <x:v>4</x:v>
      </x:c>
      <x:c r="G11" s="92" t="str">
        <x:v>Studies major modern and contemporary philosophers.</x:v>
      </x:c>
      <x:c r="H11" s="92" t="str">
        <x:v>Better for modern apologetic debates.</x:v>
      </x:c>
      <x:c r="I11" s="136" t="str">
        <x:v>https://catalog.wheaton.edu/course-descriptions/phil/</x:v>
      </x:c>
    </x:row>
    <x:row r="12" ht="62" customHeight="1">
      <x:c r="A12" s="108" t="str">
        <x:v>RELI 375</x:v>
      </x:c>
      <x:c r="B12" s="108" t="str">
        <x:v>The Muslim Tradition</x:v>
      </x:c>
      <x:c r="C12" s="108" t="str">
        <x:v>Thematic Core choice</x:v>
      </x:c>
      <x:c r="D12" s="108" t="str">
        <x:v>RELI 356</x:v>
      </x:c>
      <x:c r="E12" s="108" t="str">
        <x:v>The Jewish Tradition</x:v>
      </x:c>
      <x:c r="F12" s="108" t="n">
        <x:v>4</x:v>
      </x:c>
      <x:c r="G12" s="108" t="str">
        <x:v>Studies Judaism as historically developing and diverse.</x:v>
      </x:c>
      <x:c r="H12" s="108" t="str">
        <x:v>Highly relevant to biblical backgrounds.</x:v>
      </x:c>
      <x:c r="I12" s="138" t="str">
        <x:v>https://catalog.wheaton.edu/course-descriptions/reli/</x:v>
      </x:c>
    </x:row>
    <x:row r="13" ht="62" customHeight="1">
      <x:c r="A13" s="92" t="str">
        <x:v>GREK 347</x:v>
      </x:c>
      <x:c r="B13" s="92" t="str">
        <x:v>The Gospel of Luke and the Acts of the Apostles</x:v>
      </x:c>
      <x:c r="C13" s="92" t="str">
        <x:v>Upper-division Greek choice</x:v>
      </x:c>
      <x:c r="D13" s="92" t="str">
        <x:v>GREK 348</x:v>
      </x:c>
      <x:c r="E13" s="92" t="str">
        <x:v>Revelation, Letters, and Apostolic Fathers</x:v>
      </x:c>
      <x:c r="F13" s="92" t="n">
        <x:v>4</x:v>
      </x:c>
      <x:c r="G13" s="92" t="str">
        <x:v>Reads Greek texts from Revelation, letters, and early Christian writings.</x:v>
      </x:c>
      <x:c r="H13" s="92" t="str">
        <x:v>Broadens later-New-Testament reading.</x:v>
      </x:c>
      <x:c r="I13" s="136" t="str">
        <x:v>https://catalog.wheaton.edu/course-descriptions/grek/</x:v>
      </x:c>
    </x:row>
    <x:row r="14" ht="62" customHeight="1">
      <x:c r="A14" s="108" t="str">
        <x:v>BITH 459</x:v>
      </x:c>
      <x:c r="B14" s="108" t="str">
        <x:v>Greek Exegesis</x:v>
      </x:c>
      <x:c r="C14" s="108" t="str">
        <x:v>Greek-exegesis choice</x:v>
      </x:c>
      <x:c r="D14" s="108" t="str">
        <x:v>BITH 509</x:v>
      </x:c>
      <x:c r="E14" s="108" t="str">
        <x:v>Introduction to Greek Exegesis</x:v>
      </x:c>
      <x:c r="F14" s="108" t="n">
        <x:v>4</x:v>
      </x:c>
      <x:c r="G14" s="108" t="str">
        <x:v>Graduate-level introduction to Greek New Testament exegesis.</x:v>
      </x:c>
      <x:c r="H14" s="108" t="str">
        <x:v>Requires approval.</x:v>
      </x:c>
      <x:c r="I14" s="138" t="str">
        <x:v>https://catalog.wheaton.edu/course-descriptions/bith/</x:v>
      </x:c>
    </x:row>
    <x:row r="15" ht="62" customHeight="1">
      <x:c r="A15" s="92" t="str">
        <x:v>BITH 457</x:v>
      </x:c>
      <x:c r="B15" s="92" t="str">
        <x:v>John</x:v>
      </x:c>
      <x:c r="C15" s="92" t="str">
        <x:v>Major companion elective</x:v>
      </x:c>
      <x:c r="D15" s="92" t="str">
        <x:v>BITH 458</x:v>
      </x:c>
      <x:c r="E15" s="92" t="str">
        <x:v>Acts of the Apostles</x:v>
      </x:c>
      <x:c r="F15" s="92" t="n">
        <x:v>4</x:v>
      </x:c>
      <x:c r="G15" s="92" t="str">
        <x:v>Studies Acts in literary, historical, theological, and missional dimensions.</x:v>
      </x:c>
      <x:c r="H15" s="92" t="str">
        <x:v>Approved alternate companion course.</x:v>
      </x:c>
      <x:c r="I15" s="136" t="str">
        <x:v>https://catalog.wheaton.edu/course-descriptions/bith/</x:v>
      </x:c>
    </x:row>
    <x:row r="16" ht="62" customHeight="1">
      <x:c r="A16" s="108" t="str">
        <x:v>BITH 392</x:v>
      </x:c>
      <x:c r="B16" s="108" t="str">
        <x:v>Scripture</x:v>
      </x:c>
      <x:c r="C16" s="108" t="str">
        <x:v>Major companion elective</x:v>
      </x:c>
      <x:c r="D16" s="108" t="str">
        <x:v>BITH 454</x:v>
      </x:c>
      <x:c r="E16" s="108" t="str">
        <x:v>Mark</x:v>
      </x:c>
      <x:c r="F16" s="108" t="n">
        <x:v>2</x:v>
      </x:c>
      <x:c r="G16" s="108" t="str">
        <x:v>Focused study of the Gospel of Mark.</x:v>
      </x:c>
      <x:c r="H16" s="108" t="str">
        <x:v>Preserves two companion credits.</x:v>
      </x:c>
      <x:c r="I16" s="138" t="str">
        <x:v>https://catalog.wheaton.edu/course-descriptions/bith/</x:v>
      </x:c>
    </x:row>
    <x:row r="17" ht="62" customHeight="1">
      <x:c r="A17" s="92" t="str">
        <x:v>BITH 456</x:v>
      </x:c>
      <x:c r="B17" s="92" t="str">
        <x:v>Jewish Backgrounds of the New Testament</x:v>
      </x:c>
      <x:c r="C17" s="92" t="str">
        <x:v>Supporting elective</x:v>
      </x:c>
      <x:c r="D17" s="92" t="str">
        <x:v>BITH 348</x:v>
      </x:c>
      <x:c r="E17" s="92" t="str">
        <x:v>Jewish Biblical Interpretation</x:v>
      </x:c>
      <x:c r="F17" s="92" t="n">
        <x:v>2</x:v>
      </x:c>
      <x:c r="G17" s="92" t="str">
        <x:v>Introduces Jewish approaches to biblical interpretation.</x:v>
      </x:c>
      <x:c r="H17" s="92" t="str">
        <x:v>Less direct Second Temple historical background.</x:v>
      </x:c>
      <x:c r="I17" s="136" t="str">
        <x:v>https://catalog.wheaton.edu/course-descriptions/bith/</x:v>
      </x:c>
    </x:row>
    <x:row r="18" ht="62" customHeight="1">
      <x:c r="A18" s="108" t="str">
        <x:v>BITH 372</x:v>
      </x:c>
      <x:c r="B18" s="108" t="str">
        <x:v>Historical Theology</x:v>
      </x:c>
      <x:c r="C18" s="108" t="str">
        <x:v>Supporting elective</x:v>
      </x:c>
      <x:c r="D18" s="108" t="str">
        <x:v>BITH 371</x:v>
      </x:c>
      <x:c r="E18" s="108" t="str">
        <x:v>Early Christianity: From Rome to Byzantium</x:v>
      </x:c>
      <x:c r="F18" s="108" t="n">
        <x:v>4</x:v>
      </x:c>
      <x:c r="G18" s="108" t="str">
        <x:v>Studies early Christianity through Byzantine period.</x:v>
      </x:c>
      <x:c r="H18" s="108" t="str">
        <x:v>Narrower but deeper early-church study.</x:v>
      </x:c>
      <x:c r="I18" s="138" t="str">
        <x:v>https://catalog.wheaton.edu/course-descriptions/bith/</x:v>
      </x:c>
    </x:row>
    <x:row r="19" ht="62" customHeight="1">
      <x:c r="A19" s="92" t="str">
        <x:v>BITH 386</x:v>
      </x:c>
      <x:c r="B19" s="92" t="str">
        <x:v>Qur'an and Bible</x:v>
      </x:c>
      <x:c r="C19" s="92" t="str">
        <x:v>Supporting elective</x:v>
      </x:c>
      <x:c r="D19" s="92" t="str">
        <x:v>CFM 418</x:v>
      </x:c>
      <x:c r="E19" s="92" t="str">
        <x:v>Apologetics in a Global Context</x:v>
      </x:c>
      <x:c r="F19" s="92" t="n">
        <x:v>2</x:v>
      </x:c>
      <x:c r="G19" s="92" t="str">
        <x:v>Examines apologetic practice across cultural contexts.</x:v>
      </x:c>
      <x:c r="H19" s="92" t="str">
        <x:v>Broader apologetics focus.</x:v>
      </x:c>
      <x:c r="I19" s="136" t="str">
        <x:v>https://catalog.wheaton.edu/course-descriptions/cfm/</x:v>
      </x:c>
    </x:row>
    <x:row r="20" ht="62" customHeight="1">
      <x:c r="A20" s="108" t="str">
        <x:v>BITH 452</x:v>
      </x:c>
      <x:c r="B20" s="108" t="str">
        <x:v>Issues in Modern New Testament Studies</x:v>
      </x:c>
      <x:c r="C20" s="108" t="str">
        <x:v>Major companion elective</x:v>
      </x:c>
      <x:c r="D20" s="108" t="str">
        <x:v>BITH 462</x:v>
      </x:c>
      <x:c r="E20" s="108" t="str">
        <x:v>Pastoral Epistles</x:v>
      </x:c>
      <x:c r="F20" s="108" t="n">
        <x:v>2</x:v>
      </x:c>
      <x:c r="G20" s="108" t="str">
        <x:v>Studies the Pastoral Epistles.</x:v>
      </x:c>
      <x:c r="H20" s="108" t="str">
        <x:v>More text-focused, less methodology.</x:v>
      </x:c>
      <x:c r="I20" s="138" t="str">
        <x:v>https://catalog.wheaton.edu/course-descriptions/bith/</x:v>
      </x:c>
    </x:row>
    <x:row r="21" ht="62" customHeight="1">
      <x:c r="A21" s="92" t="str">
        <x:v>PHIL 315</x:v>
      </x:c>
      <x:c r="B21" s="92" t="str">
        <x:v>Philosophy of Religion</x:v>
      </x:c>
      <x:c r="C21" s="92" t="str">
        <x:v>Supporting elective</x:v>
      </x:c>
      <x:c r="D21" s="92" t="str">
        <x:v>PHIL 251</x:v>
      </x:c>
      <x:c r="E21" s="92" t="str">
        <x:v>Global Justice</x:v>
      </x:c>
      <x:c r="F21" s="92" t="n">
        <x:v>4</x:v>
      </x:c>
      <x:c r="G21" s="92" t="str">
        <x:v>Examines philosophical questions about justice globally.</x:v>
      </x:c>
      <x:c r="H21" s="92" t="str">
        <x:v>Less directly apologetic.</x:v>
      </x:c>
      <x:c r="I21" s="136" t="str">
        <x:v>https://catalog.wheaton.edu/course-descriptions/phil/</x:v>
      </x:c>
    </x:row>
    <x:row r="22" ht="62" customHeight="1">
      <x:c r="A22" s="108" t="str">
        <x:v>CFM 335</x:v>
      </x:c>
      <x:c r="B22" s="108" t="str">
        <x:v>Teaching the Bible</x:v>
      </x:c>
      <x:c r="C22" s="108" t="str">
        <x:v>Thematic Core choice</x:v>
      </x:c>
      <x:c r="D22" s="108" t="str">
        <x:v>BITH 323</x:v>
      </x:c>
      <x:c r="E22" s="108" t="str">
        <x:v>Literature of the Bible</x:v>
      </x:c>
      <x:c r="F22" s="108" t="n">
        <x:v>4</x:v>
      </x:c>
      <x:c r="G22" s="108" t="str">
        <x:v>Studies Bible as literature.</x:v>
      </x:c>
      <x:c r="H22" s="108" t="str">
        <x:v>More literary, less pedagogical.</x:v>
      </x:c>
      <x:c r="I22" s="138" t="str">
        <x:v>https://catalog.wheaton.edu/course-descriptions/bith/</x:v>
      </x:c>
    </x:row>
    <x:row r="23" ht="62" customHeight="1">
      <x:c r="A23" s="126" t="str">
        <x:v>CFM 216</x:v>
      </x:c>
      <x:c r="B23" s="126" t="str">
        <x:v>Discipleship Practicum</x:v>
      </x:c>
      <x:c r="C23" s="126" t="str">
        <x:v>Supporting elective</x:v>
      </x:c>
      <x:c r="D23" s="126" t="str">
        <x:v>GREK 495</x:v>
      </x:c>
      <x:c r="E23" s="126" t="str">
        <x:v>Independent Reading</x:v>
      </x:c>
      <x:c r="F23" s="126" t="n">
        <x:v>1</x:v>
      </x:c>
      <x:c r="G23" s="126" t="str">
        <x:v>Faculty-directed independent Greek reading.</x:v>
      </x:c>
      <x:c r="H23" s="126" t="str">
        <x:v>Requires approval and removes ministry practicum.</x:v>
      </x:c>
      <x:c r="I23" s="140" t="str">
        <x:v>https://catalog.wheaton.edu/course-descriptions/grek/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25" hidden="0" customWidth="1"/>
    <x:col min="4" max="4" width="21" hidden="0" customWidth="1"/>
    <x:col min="5" max="5" width="36" hidden="0" customWidth="1"/>
    <x:col min="6" max="6" width="10" hidden="0" customWidth="1"/>
    <x:col min="7" max="7" width="48" hidden="0" customWidth="1"/>
    <x:col min="8" max="8" width="44" hidden="0" customWidth="1"/>
    <x:col min="9" max="9" width="42" hidden="0" customWidth="1"/>
  </x:cols>
  <x:sheetData>
    <x:row r="1" ht="28" customHeight="1">
      <x:c r="A1" s="4" t="str">
        <x:v>Gordon-Conwell — Alternatives for Electives and Published Requirement Choices</x:v>
      </x:c>
      <x:c r="B1" s="4"/>
      <x:c r="C1" s="4"/>
      <x:c r="D1" s="4"/>
      <x:c r="E1" s="4"/>
      <x:c r="F1" s="4"/>
      <x:c r="G1" s="4"/>
      <x:c r="H1" s="4"/>
      <x:c r="I1" s="4"/>
    </x:row>
    <x:row r="2" ht="44" customHeight="1">
      <x:c r="A2" s="11" t="str">
        <x:v>Each alternative is listed in the current 2026–27 catalog.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1" t="str">
        <x:v>Selected Code</x:v>
      </x:c>
      <x:c r="B4" s="21" t="str">
        <x:v>Selected Title</x:v>
      </x:c>
      <x:c r="C4" s="21" t="str">
        <x:v>Requirement Role</x:v>
      </x:c>
      <x:c r="D4" s="21" t="str">
        <x:v>Alternative Code</x:v>
      </x:c>
      <x:c r="E4" s="21" t="str">
        <x:v>Alternative Exact Catalog Title</x:v>
      </x:c>
      <x:c r="F4" s="21" t="str">
        <x:v>Credits</x:v>
      </x:c>
      <x:c r="G4" s="21" t="str">
        <x:v>Catalog-Based Alternative Description</x:v>
      </x:c>
      <x:c r="H4" s="21" t="str">
        <x:v>Tradeoff / Requirement Effect</x:v>
      </x:c>
      <x:c r="I4" s="21" t="str">
        <x:v>Official Catalog Source</x:v>
      </x:c>
    </x:row>
    <x:row r="5" ht="62" customHeight="1">
      <x:c r="A5" s="92" t="str">
        <x:v>MC/SF 501</x:v>
      </x:c>
      <x:c r="B5" s="92" t="str">
        <x:v>Spiritual Formation for Ministry</x:v>
      </x:c>
      <x:c r="C5" s="92" t="str">
        <x:v>Practical Theology choice</x:v>
      </x:c>
      <x:c r="D5" s="92" t="str">
        <x:v>CH/SF 591</x:v>
      </x:c>
      <x:c r="E5" s="92" t="str">
        <x:v>Dynamics of Spiritual Life</x:v>
      </x:c>
      <x:c r="F5" s="92" t="n">
        <x:v>3</x:v>
      </x:c>
      <x:c r="G5" s="92" t="str">
        <x:v>Studies dynamics of Christian spiritual life.</x:v>
      </x:c>
      <x:c r="H5" s="92" t="str">
        <x:v>Published alternative.</x:v>
      </x:c>
      <x:c r="I5" s="136" t="str">
        <x:v>https://www.gordonconwell.edu/wp-content/uploads/2026/08/Academic-Catalog-2026-27.pdf</x:v>
      </x:c>
    </x:row>
    <x:row r="6" ht="62" customHeight="1">
      <x:c r="A6" s="108" t="str">
        <x:v>AP 601</x:v>
      </x:c>
      <x:c r="B6" s="108" t="str">
        <x:v>Introduction to Christian Apologetics</x:v>
      </x:c>
      <x:c r="C6" s="108" t="str">
        <x:v>General elective</x:v>
      </x:c>
      <x:c r="D6" s="108" t="str">
        <x:v>AP 602</x:v>
      </x:c>
      <x:c r="E6" s="108" t="str">
        <x:v>Cultural Apologetics</x:v>
      </x:c>
      <x:c r="F6" s="108" t="n">
        <x:v>3</x:v>
      </x:c>
      <x:c r="G6" s="108" t="str">
        <x:v>Engages cultural narratives and public meaning.</x:v>
      </x:c>
      <x:c r="H6" s="108" t="str">
        <x:v>More culture-focused.</x:v>
      </x:c>
      <x:c r="I6" s="138" t="str">
        <x:v>https://www.gordonconwell.edu/wp-content/uploads/2026/08/Academic-Catalog-2026-27.pdf</x:v>
      </x:c>
    </x:row>
    <x:row r="7" ht="62" customHeight="1">
      <x:c r="A7" s="92" t="str">
        <x:v>SE 571</x:v>
      </x:c>
      <x:c r="B7" s="92" t="str">
        <x:v>Christian Ethics &amp; Social Issues</x:v>
      </x:c>
      <x:c r="C7" s="92" t="str">
        <x:v>Christian Thought ethics choice</x:v>
      </x:c>
      <x:c r="D7" s="92" t="str">
        <x:v>SE 632</x:v>
      </x:c>
      <x:c r="E7" s="92" t="str">
        <x:v>Christianity and the Problem of Racism</x:v>
      </x:c>
      <x:c r="F7" s="92" t="n">
        <x:v>3</x:v>
      </x:c>
      <x:c r="G7" s="92" t="str">
        <x:v>Examines racism as theological and ethical problem.</x:v>
      </x:c>
      <x:c r="H7" s="92" t="str">
        <x:v>Focused ethics alternative.</x:v>
      </x:c>
      <x:c r="I7" s="136" t="str">
        <x:v>https://www.gordonconwell.edu/wp-content/uploads/2026/08/Academic-Catalog-2026-27.pdf</x:v>
      </x:c>
    </x:row>
    <x:row r="8" ht="62" customHeight="1">
      <x:c r="A8" s="108" t="str">
        <x:v>TH/WM 602</x:v>
      </x:c>
      <x:c r="B8" s="108" t="str">
        <x:v>Theology of Mission</x:v>
      </x:c>
      <x:c r="C8" s="108" t="str">
        <x:v>Christian Thought mission choice</x:v>
      </x:c>
      <x:c r="D8" s="108" t="str">
        <x:v>WM 601</x:v>
      </x:c>
      <x:c r="E8" s="108" t="str">
        <x:v>World Mission of the Church</x:v>
      </x:c>
      <x:c r="F8" s="108" t="n">
        <x:v>3</x:v>
      </x:c>
      <x:c r="G8" s="108" t="str">
        <x:v>Studies biblical mandate, history, and strategy of mission.</x:v>
      </x:c>
      <x:c r="H8" s="108" t="str">
        <x:v>Published alternative.</x:v>
      </x:c>
      <x:c r="I8" s="138" t="str">
        <x:v>https://www.gordonconwell.edu/wp-content/uploads/2026/08/Academic-Catalog-2026-27.pdf</x:v>
      </x:c>
    </x:row>
    <x:row r="9" ht="62" customHeight="1">
      <x:c r="A9" s="92" t="str">
        <x:v>NT 617</x:v>
      </x:c>
      <x:c r="B9" s="92" t="str">
        <x:v>Gospel of John</x:v>
      </x:c>
      <x:c r="C9" s="92" t="str">
        <x:v>NT narrative exegesis choice</x:v>
      </x:c>
      <x:c r="D9" s="92" t="str">
        <x:v>NT 611</x:v>
      </x:c>
      <x:c r="E9" s="92" t="str">
        <x:v>Exegesis of Matthew</x:v>
      </x:c>
      <x:c r="F9" s="92" t="n">
        <x:v>3</x:v>
      </x:c>
      <x:c r="G9" s="92" t="str">
        <x:v>Conducts Greek exegesis of Matthew.</x:v>
      </x:c>
      <x:c r="H9" s="92" t="str">
        <x:v>Substitutes another NT 611–619 course.</x:v>
      </x:c>
      <x:c r="I9" s="136" t="str">
        <x:v>https://www.gordonconwell.edu/wp-content/uploads/2026/08/Academic-Catalog-2026-27.pdf</x:v>
      </x:c>
    </x:row>
    <x:row r="10" ht="62" customHeight="1">
      <x:c r="A10" s="108" t="str">
        <x:v>PC 511</x:v>
      </x:c>
      <x:c r="B10" s="108" t="str">
        <x:v>Introduction to Pastoral Counseling</x:v>
      </x:c>
      <x:c r="C10" s="108" t="str">
        <x:v>Practical Theology choice</x:v>
      </x:c>
      <x:c r="D10" s="108" t="str">
        <x:v>MC/PC 513</x:v>
      </x:c>
      <x:c r="E10" s="108" t="str">
        <x:v>Healthy Relationships in Ministry</x:v>
      </x:c>
      <x:c r="F10" s="108" t="n">
        <x:v>3</x:v>
      </x:c>
      <x:c r="G10" s="108" t="str">
        <x:v>Studies relational health and boundaries.</x:v>
      </x:c>
      <x:c r="H10" s="108" t="str">
        <x:v>Published alternative.</x:v>
      </x:c>
      <x:c r="I10" s="138" t="str">
        <x:v>https://www.gordonconwell.edu/wp-content/uploads/2026/08/Academic-Catalog-2026-27.pdf</x:v>
      </x:c>
    </x:row>
    <x:row r="11" ht="62" customHeight="1">
      <x:c r="A11" s="92" t="str">
        <x:v>EV 701</x:v>
      </x:c>
      <x:c r="B11" s="92" t="str">
        <x:v>Evangelism &amp; Discipleship Through the Local Church</x:v>
      </x:c>
      <x:c r="C11" s="92" t="str">
        <x:v>Practical Theology elective</x:v>
      </x:c>
      <x:c r="D11" s="92" t="str">
        <x:v>CL 503</x:v>
      </x:c>
      <x:c r="E11" s="92" t="str">
        <x:v>Foundations for Leadership</x:v>
      </x:c>
      <x:c r="F11" s="92" t="n">
        <x:v>3</x:v>
      </x:c>
      <x:c r="G11" s="92" t="str">
        <x:v>Introduces foundations for Christian leadership.</x:v>
      </x:c>
      <x:c r="H11" s="92" t="str">
        <x:v>Shifts emphasis to leadership.</x:v>
      </x:c>
      <x:c r="I11" s="136" t="str">
        <x:v>https://www.gordonconwell.edu/wp-content/uploads/2026/08/Academic-Catalog-2026-27.pdf</x:v>
      </x:c>
    </x:row>
    <x:row r="12" ht="62" customHeight="1">
      <x:c r="A12" s="108" t="str">
        <x:v>AP/MC 612</x:v>
      </x:c>
      <x:c r="B12" s="108" t="str">
        <x:v>Practical Apologetics</x:v>
      </x:c>
      <x:c r="C12" s="108" t="str">
        <x:v>Practical Theology broad elective</x:v>
      </x:c>
      <x:c r="D12" s="108" t="str">
        <x:v>PR 717</x:v>
      </x:c>
      <x:c r="E12" s="108" t="str">
        <x:v>Cultural Exegesis for Preaching</x:v>
      </x:c>
      <x:c r="F12" s="108" t="n">
        <x:v>3</x:v>
      </x:c>
      <x:c r="G12" s="108" t="str">
        <x:v>Develops cultural interpretation for preaching.</x:v>
      </x:c>
      <x:c r="H12" s="108" t="str">
        <x:v>Shifts emphasis from apologetics to homiletics.</x:v>
      </x:c>
      <x:c r="I12" s="138" t="str">
        <x:v>https://www.gordonconwell.edu/wp-content/uploads/2026/08/Academic-Catalog-2026-27.pdf</x:v>
      </x:c>
    </x:row>
    <x:row r="13" ht="62" customHeight="1">
      <x:c r="A13" s="92" t="str">
        <x:v>NT 620</x:v>
      </x:c>
      <x:c r="B13" s="92" t="str">
        <x:v>Exegesis of Romans</x:v>
      </x:c>
      <x:c r="C13" s="92" t="str">
        <x:v>NT epistle exegesis choice</x:v>
      </x:c>
      <x:c r="D13" s="92" t="str">
        <x:v>NT 626</x:v>
      </x:c>
      <x:c r="E13" s="92" t="str">
        <x:v>Exegesis of Galatians</x:v>
      </x:c>
      <x:c r="F13" s="92" t="n">
        <x:v>3</x:v>
      </x:c>
      <x:c r="G13" s="92" t="str">
        <x:v>Conducts Greek exegesis of Galatians.</x:v>
      </x:c>
      <x:c r="H13" s="92" t="str">
        <x:v>Alternative NT 620–649 course.</x:v>
      </x:c>
      <x:c r="I13" s="136" t="str">
        <x:v>https://www.gordonconwell.edu/wp-content/uploads/2026/08/Academic-Catalog-2026-27.pdf</x:v>
      </x:c>
    </x:row>
    <x:row r="14" ht="62" customHeight="1">
      <x:c r="A14" s="108" t="str">
        <x:v>GL 601</x:v>
      </x:c>
      <x:c r="B14" s="108" t="str">
        <x:v>Intermediate Greek</x:v>
      </x:c>
      <x:c r="C14" s="108" t="str">
        <x:v>Elective</x:v>
      </x:c>
      <x:c r="D14" s="108" t="str">
        <x:v>NT 571</x:v>
      </x:c>
      <x:c r="E14" s="108" t="str">
        <x:v>The Hellenistic World of the New Testament</x:v>
      </x:c>
      <x:c r="F14" s="108" t="n">
        <x:v>3</x:v>
      </x:c>
      <x:c r="G14" s="108" t="str">
        <x:v>Studies Greco-Roman context.</x:v>
      </x:c>
      <x:c r="H14" s="108" t="str">
        <x:v>Less direct advanced-language practice.</x:v>
      </x:c>
      <x:c r="I14" s="138" t="str">
        <x:v>https://www.gordonconwell.edu/wp-content/uploads/2026/08/Academic-Catalog-2026-27.pdf</x:v>
      </x:c>
    </x:row>
    <x:row r="15" ht="62" customHeight="1">
      <x:c r="A15" s="92" t="str">
        <x:v>TH 662</x:v>
      </x:c>
      <x:c r="B15" s="92" t="str">
        <x:v>Retrieving Classical Theism</x:v>
      </x:c>
      <x:c r="C15" s="92" t="str">
        <x:v>Theology elective</x:v>
      </x:c>
      <x:c r="D15" s="92" t="str">
        <x:v>TH/WM 659</x:v>
      </x:c>
      <x:c r="E15" s="92" t="str">
        <x:v>Evangelical Theology and World Religions</x:v>
      </x:c>
      <x:c r="F15" s="92" t="n">
        <x:v>3</x:v>
      </x:c>
      <x:c r="G15" s="92" t="str">
        <x:v>Examines evangelical theology and world religions.</x:v>
      </x:c>
      <x:c r="H15" s="92" t="str">
        <x:v>More comparative/missional.</x:v>
      </x:c>
      <x:c r="I15" s="136" t="str">
        <x:v>https://www.gordonconwell.edu/wp-content/uploads/2026/08/Academic-Catalog-2026-27.pdf</x:v>
      </x:c>
    </x:row>
    <x:row r="16" ht="62" customHeight="1">
      <x:c r="A16" s="108" t="str">
        <x:v>OT 626</x:v>
      </x:c>
      <x:c r="B16" s="108" t="str">
        <x:v>Exegesis in Genesis</x:v>
      </x:c>
      <x:c r="C16" s="108" t="str">
        <x:v>OT 600-level exegesis choice</x:v>
      </x:c>
      <x:c r="D16" s="108" t="str">
        <x:v>OT 633</x:v>
      </x:c>
      <x:c r="E16" s="108" t="str">
        <x:v>Exegesis in Deuteronomy</x:v>
      </x:c>
      <x:c r="F16" s="108" t="n">
        <x:v>3</x:v>
      </x:c>
      <x:c r="G16" s="108" t="str">
        <x:v>Conducts Hebrew exegesis of Deuteronomy.</x:v>
      </x:c>
      <x:c r="H16" s="108" t="str">
        <x:v>Alternative OT 625–670 course.</x:v>
      </x:c>
      <x:c r="I16" s="138" t="str">
        <x:v>https://www.gordonconwell.edu/wp-content/uploads/2026/08/Academic-Catalog-2026-27.pdf</x:v>
      </x:c>
    </x:row>
    <x:row r="17" ht="62" customHeight="1">
      <x:c r="A17" s="92" t="str">
        <x:v>OT 750</x:v>
      </x:c>
      <x:c r="B17" s="92" t="str">
        <x:v>Old Testament Prophetical Books</x:v>
      </x:c>
      <x:c r="C17" s="92" t="str">
        <x:v>OT 700-level exegesis choice</x:v>
      </x:c>
      <x:c r="D17" s="92" t="str">
        <x:v>OT 770</x:v>
      </x:c>
      <x:c r="E17" s="92" t="str">
        <x:v>Old Testament Poetical Books</x:v>
      </x:c>
      <x:c r="F17" s="92" t="n">
        <x:v>3</x:v>
      </x:c>
      <x:c r="G17" s="92" t="str">
        <x:v>Studies poetry and wisdom with Hebrew exegesis.</x:v>
      </x:c>
      <x:c r="H17" s="92" t="str">
        <x:v>Alternative OT 750–773 course.</x:v>
      </x:c>
      <x:c r="I17" s="136" t="str">
        <x:v>https://www.gordonconwell.edu/wp-content/uploads/2026/08/Academic-Catalog-2026-27.pdf</x:v>
      </x:c>
    </x:row>
    <x:row r="18" ht="62" customHeight="1">
      <x:c r="A18" s="108" t="str">
        <x:v>PR 602</x:v>
      </x:c>
      <x:c r="B18" s="108" t="str">
        <x:v>Preaching for Modern Listeners</x:v>
      </x:c>
      <x:c r="C18" s="108" t="str">
        <x:v>Advanced preaching choice</x:v>
      </x:c>
      <x:c r="D18" s="108" t="str">
        <x:v>PR 717</x:v>
      </x:c>
      <x:c r="E18" s="108" t="str">
        <x:v>Cultural Exegesis for Preaching</x:v>
      </x:c>
      <x:c r="F18" s="108" t="n">
        <x:v>3</x:v>
      </x:c>
      <x:c r="G18" s="108" t="str">
        <x:v>Develops cultural interpretation for preaching.</x:v>
      </x:c>
      <x:c r="H18" s="108" t="str">
        <x:v>Alternative preaching option.</x:v>
      </x:c>
      <x:c r="I18" s="138" t="str">
        <x:v>https://www.gordonconwell.edu/wp-content/uploads/2026/08/Academic-Catalog-2026-27.pdf</x:v>
      </x:c>
    </x:row>
    <x:row r="19" ht="62" customHeight="1">
      <x:c r="A19" s="126" t="str">
        <x:v>MC 701</x:v>
      </x:c>
      <x:c r="B19" s="126" t="str">
        <x:v>Pastoral Ministry</x:v>
      </x:c>
      <x:c r="C19" s="126" t="str">
        <x:v>Pastoral ministry capstone choice</x:v>
      </x:c>
      <x:c r="D19" s="126" t="str">
        <x:v>MC 850</x:v>
      </x:c>
      <x:c r="E19" s="126" t="str">
        <x:v>Readiness for Ministry Exit Seminar</x:v>
      </x:c>
      <x:c r="F19" s="126" t="n">
        <x:v>3</x:v>
      </x:c>
      <x:c r="G19" s="126" t="str">
        <x:v>Assesses readiness for ministry.</x:v>
      </x:c>
      <x:c r="H19" s="126" t="str">
        <x:v>Published alternative.</x:v>
      </x:c>
      <x:c r="I19" s="140" t="str">
        <x:v>https://www.gordonconwell.edu/wp-content/uploads/2026/08/Academic-Catalog-2026-27.pdf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1" hidden="0" customWidth="1"/>
    <x:col min="3" max="3" width="41" hidden="0" customWidth="1"/>
    <x:col min="4" max="4" width="62" hidden="0" customWidth="1"/>
    <x:col min="5" max="5" width="45" hidden="0" customWidth="1"/>
  </x:cols>
  <x:sheetData>
    <x:row r="1" ht="28" customHeight="1">
      <x:c r="A1" s="4" t="str">
        <x:v>Princeton — Permitted Language and Seminar Alternatives</x:v>
      </x:c>
      <x:c r="B1" s="4"/>
      <x:c r="C1" s="4"/>
      <x:c r="D1" s="4"/>
      <x:c r="E1" s="4"/>
    </x:row>
    <x:row r="2" ht="44" customHeight="1">
      <x:c r="A2" s="11" t="str">
        <x:v>Princeton publishes permitted language options and seminar categories rather than permanent seminar titles.</x:v>
      </x:c>
      <x:c r="B2" s="11"/>
      <x:c r="C2" s="11"/>
      <x:c r="D2" s="11"/>
      <x:c r="E2" s="11"/>
    </x:row>
    <x:row r="4">
      <x:c r="A4" s="21" t="str">
        <x:v>Requirement</x:v>
      </x:c>
      <x:c r="B4" s="21" t="str">
        <x:v>Recommended Selection</x:v>
      </x:c>
      <x:c r="C4" s="21" t="str">
        <x:v>Permitted Alternative</x:v>
      </x:c>
      <x:c r="D4" s="21" t="str">
        <x:v>Rationale and Constraint</x:v>
      </x:c>
      <x:c r="E4" s="21" t="str">
        <x:v>Official Source</x:v>
      </x:c>
    </x:row>
    <x:row r="5" ht="62" customHeight="1">
      <x:c r="A5" s="92" t="str">
        <x:v>Second modern research language</x:v>
      </x:c>
      <x:c r="B5" s="92" t="str">
        <x:v>French</x:v>
      </x:c>
      <x:c r="C5" s="92" t="str">
        <x:v>Modern Hebrew</x:v>
      </x:c>
      <x:c r="D5" s="92" t="str">
        <x:v>Both are examples identified in Princeton requirements; French broadens access to European scholarship, while Modern Hebrew may support Israeli biblical scholarship.</x:v>
      </x:c>
      <x:c r="E5" s="136" t="str">
        <x:v>https://ptsem.edu/academics/phd-studies/requirements/</x:v>
      </x:c>
    </x:row>
    <x:row r="6" ht="62" customHeight="1">
      <x:c r="A6" s="108" t="str">
        <x:v>Third ancient language</x:v>
      </x:c>
      <x:c r="B6" s="108" t="str">
        <x:v>Latin</x:v>
      </x:c>
      <x:c r="C6" s="108" t="str">
        <x:v>Syriac</x:v>
      </x:c>
      <x:c r="D6" s="108" t="str">
        <x:v>Both are expressly permitted for New Testament students. Latin supports Western historical theology; Syriac strengthens Eastern-Christian and textual study.</x:v>
      </x:c>
      <x:c r="E6" s="138" t="str">
        <x:v>https://ptsem.edu/academics/departments/biblical-studies/phd-program/</x:v>
      </x:c>
    </x:row>
    <x:row r="7" ht="62" customHeight="1">
      <x:c r="A7" s="92" t="str">
        <x:v>New Testament Text/Corpus Seminar</x:v>
      </x:c>
      <x:c r="B7" s="92" t="str">
        <x:v>Any approved seminar satisfying the text/corpus category</x:v>
      </x:c>
      <x:c r="C7" s="92" t="str">
        <x:v>Another approved 5000/9000-level New Testament text/corpus seminar</x:v>
      </x:c>
      <x:c r="D7" s="92" t="str">
        <x:v>The category is required rather than a permanent named course; actual choice comes from current offerings.</x:v>
      </x:c>
      <x:c r="E7" s="136" t="str">
        <x:v>https://ptsem.edu/academics/departments/biblical-studies/phd-program/</x:v>
      </x:c>
    </x:row>
    <x:row r="8" ht="62" customHeight="1">
      <x:c r="A8" s="108" t="str">
        <x:v>Greco-Roman Environment Seminar</x:v>
      </x:c>
      <x:c r="B8" s="108" t="str">
        <x:v>Any approved seminar satisfying the Greco-Roman environment category</x:v>
      </x:c>
      <x:c r="C8" s="108" t="str">
        <x:v>Another approved 5000/9000-level Greco-Roman environment seminar</x:v>
      </x:c>
      <x:c r="D8" s="108" t="str">
        <x:v>Exact topic and title vary by faculty offering.</x:v>
      </x:c>
      <x:c r="E8" s="138" t="str">
        <x:v>https://ptsem.edu/academics/departments/biblical-studies/phd-program/</x:v>
      </x:c>
    </x:row>
    <x:row r="9" ht="62" customHeight="1">
      <x:c r="A9" s="92" t="str">
        <x:v>Early Jewish Environment Seminar</x:v>
      </x:c>
      <x:c r="B9" s="92" t="str">
        <x:v>Any approved seminar satisfying the early Jewish environment category</x:v>
      </x:c>
      <x:c r="C9" s="92" t="str">
        <x:v>Another approved 5000/9000-level early Jewish environment seminar</x:v>
      </x:c>
      <x:c r="D9" s="92" t="str">
        <x:v>Exact topic and title vary by faculty offering.</x:v>
      </x:c>
      <x:c r="E9" s="136" t="str">
        <x:v>https://ptsem.edu/academics/departments/biblical-studies/phd-program/</x:v>
      </x:c>
    </x:row>
    <x:row r="10" ht="62" customHeight="1">
      <x:c r="A10" s="116" t="str">
        <x:v>Doctoral elective</x:v>
      </x:c>
      <x:c r="B10" s="116" t="str">
        <x:v>Approved Seminary doctoral seminar</x:v>
      </x:c>
      <x:c r="C10" s="116" t="str">
        <x:v>Approved Princeton University graduate seminar</x:v>
      </x:c>
      <x:c r="D10" s="116" t="str">
        <x:v>Electives may be in the department, elsewhere in the Seminary, or at Princeton University, subject to approval.</x:v>
      </x:c>
      <x:c r="E10" s="142" t="str">
        <x:v>https://ptsem.edu/academics/phd-studies/phd-program/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9" hidden="0" customWidth="1"/>
    <x:col min="3" max="3" width="62" hidden="0" customWidth="1"/>
    <x:col min="4" max="4" width="18" hidden="0" customWidth="1"/>
    <x:col min="5" max="5" width="20" hidden="0" customWidth="1"/>
    <x:col min="6" max="6" width="45" hidden="0" customWidth="1"/>
  </x:cols>
  <x:sheetData>
    <x:row r="1" ht="28" customHeight="1">
      <x:c r="A1" s="4" t="str">
        <x:v>Wheaton Degree Audit</x:v>
      </x:c>
      <x:c r="B1" s="4"/>
      <x:c r="C1" s="4"/>
      <x:c r="D1" s="4"/>
      <x:c r="E1" s="4"/>
      <x:c r="F1" s="4"/>
    </x:row>
    <x:row r="2" ht="44" customHeight="1">
      <x:c r="A2" s="11" t="str">
        <x:v>Checks the customized 133-credit curriculum against the integrated-major structure. The eight requested swaps intentionally replace general/core courses and therefore require separate verification of Wheaton general-education completion.</x:v>
      </x:c>
      <x:c r="B2" s="11"/>
      <x:c r="C2" s="11"/>
      <x:c r="D2" s="11"/>
      <x:c r="E2" s="11"/>
      <x:c r="F2" s="11"/>
    </x:row>
    <x:row r="4">
      <x:c r="A4" s="21" t="str">
        <x:v>Audit Item</x:v>
      </x:c>
      <x:c r="B4" s="21" t="str">
        <x:v>Catalog Requirement</x:v>
      </x:c>
      <x:c r="C4" s="21" t="str">
        <x:v>Courses Used in This Plan</x:v>
      </x:c>
      <x:c r="D4" s="21" t="str">
        <x:v>Planned Credits</x:v>
      </x:c>
      <x:c r="E4" s="21" t="str">
        <x:v>Formula / Result</x:v>
      </x:c>
      <x:c r="F4" s="21" t="str">
        <x:v>Status / Note</x:v>
      </x:c>
    </x:row>
    <x:row r="5">
      <x:c r="A5" s="36" t="str">
        <x:v>Total BA credits</x:v>
      </x:c>
      <x:c r="B5" s="36" t="str">
        <x:v>124-credit minimum</x:v>
      </x:c>
      <x:c r="C5" s="36" t="str">
        <x:v>All courses on Wheaton Plan</x:v>
      </x:c>
      <x:c r="D5" s="36" t="n">
        <x:v>133</x:v>
      </x:c>
      <x:c r="E5" s="36" t="n">
        <x:f>'Wheaton Plan'!E42</x:f>
        <x:v>133</x:v>
      </x:c>
      <x:c r="F5" s="37" t="str">
        <x:v>Exceeds the published 124-credit minimum by 9 credits.</x:v>
      </x:c>
    </x:row>
    <x:row r="6">
      <x:c r="A6" s="36" t="str">
        <x:v>Integrated major total</x:v>
      </x:c>
      <x:c r="B6" s="36" t="str">
        <x:v>40 credits</x:v>
      </x:c>
      <x:c r="C6" s="36" t="str">
        <x:v>GREK 101, 102, 201, 346, 347; CLAL 494; BITH 325, 459, 457, 392, 452</x:v>
      </x:c>
      <x:c r="D6" s="36" t="n">
        <x:v>40</x:v>
      </x:c>
      <x:c r="E6" s="36" t="n">
        <x:v>40</x:v>
      </x:c>
      <x:c r="F6" s="37" t="str">
        <x:v>Matches the integrated-major total.</x:v>
      </x:c>
    </x:row>
    <x:row r="7">
      <x:c r="A7" s="36" t="str">
        <x:v>Lower-division Greek</x:v>
      </x:c>
      <x:c r="B7" s="36" t="str">
        <x:v>12 credits</x:v>
      </x:c>
      <x:c r="C7" s="36" t="str">
        <x:v>GREK 101, 102, 201</x:v>
      </x:c>
      <x:c r="D7" s="36" t="n">
        <x:v>12</x:v>
      </x:c>
      <x:c r="E7" s="36" t="n">
        <x:v>12</x:v>
      </x:c>
      <x:c r="F7" s="37" t="str">
        <x:v>Required sequence completed.</x:v>
      </x:c>
    </x:row>
    <x:row r="8">
      <x:c r="A8" s="36" t="str">
        <x:v>Upper-division Greek</x:v>
      </x:c>
      <x:c r="B8" s="36" t="str">
        <x:v>8 credits</x:v>
      </x:c>
      <x:c r="C8" s="36" t="str">
        <x:v>GREK 346, 347</x:v>
      </x:c>
      <x:c r="D8" s="36" t="n">
        <x:v>8</x:v>
      </x:c>
      <x:c r="E8" s="36" t="n">
        <x:v>8</x:v>
      </x:c>
      <x:c r="F8" s="37" t="str">
        <x:v>Required minimum completed.</x:v>
      </x:c>
    </x:row>
    <x:row r="9">
      <x:c r="A9" s="36" t="str">
        <x:v>Senior capstone</x:v>
      </x:c>
      <x:c r="B9" s="36" t="str">
        <x:v>4 credits</x:v>
      </x:c>
      <x:c r="C9" s="36" t="str">
        <x:v>CLAL 494</x:v>
      </x:c>
      <x:c r="D9" s="36" t="n">
        <x:v>4</x:v>
      </x:c>
      <x:c r="E9" s="36" t="n">
        <x:v>4</x:v>
      </x:c>
      <x:c r="F9" s="37" t="str">
        <x:v>Required capstone completed.</x:v>
      </x:c>
    </x:row>
    <x:row r="10">
      <x:c r="A10" s="36" t="str">
        <x:v>BITH 325</x:v>
      </x:c>
      <x:c r="B10" s="36" t="str">
        <x:v>4 credits</x:v>
      </x:c>
      <x:c r="C10" s="36" t="str">
        <x:v>BITH 325</x:v>
      </x:c>
      <x:c r="D10" s="36" t="n">
        <x:v>4</x:v>
      </x:c>
      <x:c r="E10" s="36" t="n">
        <x:v>4</x:v>
      </x:c>
      <x:c r="F10" s="37" t="str">
        <x:v>Required companion course completed.</x:v>
      </x:c>
    </x:row>
    <x:row r="11">
      <x:c r="A11" s="36" t="str">
        <x:v>Greek exegesis</x:v>
      </x:c>
      <x:c r="B11" s="36" t="str">
        <x:v>At least 4 credits</x:v>
      </x:c>
      <x:c r="C11" s="36" t="str">
        <x:v>BITH 459</x:v>
      </x:c>
      <x:c r="D11" s="36" t="n">
        <x:v>4</x:v>
      </x:c>
      <x:c r="E11" s="36" t="n">
        <x:v>4</x:v>
      </x:c>
      <x:c r="F11" s="37" t="str">
        <x:v>Required Greek-exegesis minimum completed.</x:v>
      </x:c>
    </x:row>
    <x:row r="12">
      <x:c r="A12" s="36" t="str">
        <x:v>Approved BITH companion options</x:v>
      </x:c>
      <x:c r="B12" s="36" t="str">
        <x:v>No more than 8 credits in this portion</x:v>
      </x:c>
      <x:c r="C12" s="36" t="str">
        <x:v>BITH 457, BITH 392, BITH 452</x:v>
      </x:c>
      <x:c r="D12" s="36" t="n">
        <x:v>8</x:v>
      </x:c>
      <x:c r="E12" s="36" t="n">
        <x:v>8</x:v>
      </x:c>
      <x:c r="F12" s="37" t="str">
        <x:v>Uses exactly eight approved companion-course credits.</x:v>
      </x:c>
    </x:row>
    <x:row r="13">
      <x:c r="A13" s="36" t="str">
        <x:v>Added Biblical Hebrew</x:v>
      </x:c>
      <x:c r="B13" s="36" t="str">
        <x:v>Not required by this Greek major</x:v>
      </x:c>
      <x:c r="C13" s="36" t="str">
        <x:v>HEBR 101, 102, 201</x:v>
      </x:c>
      <x:c r="D13" s="36" t="n">
        <x:v>12</x:v>
      </x:c>
      <x:c r="E13" s="36" t="n">
        <x:v>12</x:v>
      </x:c>
      <x:c r="F13" s="37" t="str">
        <x:v>Strategic elective sequence for later biblical scholarship.</x:v>
      </x:c>
    </x:row>
    <x:row r="14">
      <x:c r="A14" s="38" t="str">
        <x:v>General-education completion</x:v>
      </x:c>
      <x:c r="B14" s="38" t="str">
        <x:v>Institutional core requirements still apply</x:v>
      </x:c>
      <x:c r="C14" s="38" t="str">
        <x:v>Eight original core/general courses were replaced by request</x:v>
      </x:c>
      <x:c r="D14" s="38" t="str">
        <x:v>Requires official audit</x:v>
      </x:c>
      <x:c r="E14" s="38" t="str">
        <x:v>Advising verification</x:v>
      </x:c>
      <x:c r="F14" s="39" t="str">
        <x:v>This customized plan should not be treated as proof that all Wheaton general-education categories are satisfied.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78" hidden="0" customWidth="1"/>
    <x:col min="4" max="4" width="18" hidden="0" customWidth="1"/>
    <x:col min="5" max="5" width="20" hidden="0" customWidth="1"/>
    <x:col min="6" max="6" width="56" hidden="0" customWidth="1"/>
  </x:cols>
  <x:sheetData>
    <x:row r="1" ht="28" customHeight="1">
      <x:c r="A1" s="4" t="str">
        <x:v>Gordon-Conwell MDiv Degree Audit</x:v>
      </x:c>
      <x:c r="B1" s="4"/>
      <x:c r="C1" s="4"/>
      <x:c r="D1" s="4"/>
      <x:c r="E1" s="4"/>
      <x:c r="F1" s="4"/>
    </x:row>
    <x:row r="2" ht="44" customHeight="1">
      <x:c r="A2" s="11" t="str">
        <x:v>The current catalog totals 90 credits: Christian Thought 24, Biblical Studies 36, Practical Theology 21, Mentored Ministry 3, and General Electives 6.</x:v>
      </x:c>
      <x:c r="B2" s="11"/>
      <x:c r="C2" s="11"/>
      <x:c r="D2" s="11"/>
      <x:c r="E2" s="11"/>
      <x:c r="F2" s="11"/>
    </x:row>
    <x:row r="4">
      <x:c r="A4" s="21" t="str">
        <x:v>Requirement Area</x:v>
      </x:c>
      <x:c r="B4" s="21" t="str">
        <x:v>Catalog Credits</x:v>
      </x:c>
      <x:c r="C4" s="21" t="str">
        <x:v>Courses Used in This Plan</x:v>
      </x:c>
      <x:c r="D4" s="21" t="str">
        <x:v>Planned Credits</x:v>
      </x:c>
      <x:c r="E4" s="21" t="str">
        <x:v>Formula / Result</x:v>
      </x:c>
      <x:c r="F4" s="21" t="str">
        <x:v>Status</x:v>
      </x:c>
    </x:row>
    <x:row r="5">
      <x:c r="A5" s="36" t="str">
        <x:v>Christian Thought</x:v>
      </x:c>
      <x:c r="B5" s="36" t="n">
        <x:v>24</x:v>
      </x:c>
      <x:c r="C5" s="36" t="str">
        <x:v>CH 501, CH 502, IS/WM 520, SE 571, TH 501, TH 502, TH 662, TH/WM 602</x:v>
      </x:c>
      <x:c r="D5" s="36" t="n">
        <x:v>24</x:v>
      </x:c>
      <x:c r="E5" s="36" t="n">
        <x:v>24</x:v>
      </x:c>
      <x:c r="F5" s="37" t="str">
        <x:v>Complete</x:v>
      </x:c>
    </x:row>
    <x:row r="6">
      <x:c r="A6" s="36" t="str">
        <x:v>Biblical Studies</x:v>
      </x:c>
      <x:c r="B6" s="36" t="n">
        <x:v>36</x:v>
      </x:c>
      <x:c r="C6" s="36" t="str">
        <x:v>OT 500, NT 501, GL 501, GL 502, NT 502, NT 617, NT 620, OL 501, OL 502, OT 511, OT 626, OT 750</x:v>
      </x:c>
      <x:c r="D6" s="36" t="n">
        <x:v>36</x:v>
      </x:c>
      <x:c r="E6" s="36" t="n">
        <x:v>36</x:v>
      </x:c>
      <x:c r="F6" s="37" t="str">
        <x:v>Complete</x:v>
      </x:c>
    </x:row>
    <x:row r="7">
      <x:c r="A7" s="36" t="str">
        <x:v>Practical Theology</x:v>
      </x:c>
      <x:c r="B7" s="36" t="n">
        <x:v>21</x:v>
      </x:c>
      <x:c r="C7" s="36" t="str">
        <x:v>MC/SF 501, PC 511, PR 601, PR 602, EV 701, AP/MC 612, MC 701</x:v>
      </x:c>
      <x:c r="D7" s="36" t="n">
        <x:v>21</x:v>
      </x:c>
      <x:c r="E7" s="36" t="n">
        <x:v>21</x:v>
      </x:c>
      <x:c r="F7" s="37" t="str">
        <x:v>Complete; AP/MC 612 is used through its MC cross-listing.</x:v>
      </x:c>
    </x:row>
    <x:row r="8">
      <x:c r="A8" s="36" t="str">
        <x:v>Mentored Ministry</x:v>
      </x:c>
      <x:c r="B8" s="36" t="n">
        <x:v>3</x:v>
      </x:c>
      <x:c r="C8" s="36" t="str">
        <x:v>MM 505, MM 605, MM 705</x:v>
      </x:c>
      <x:c r="D8" s="36" t="n">
        <x:v>3</x:v>
      </x:c>
      <x:c r="E8" s="36" t="n">
        <x:v>3</x:v>
      </x:c>
      <x:c r="F8" s="37" t="str">
        <x:v>Complete</x:v>
      </x:c>
    </x:row>
    <x:row r="9">
      <x:c r="A9" s="36" t="str">
        <x:v>General Electives</x:v>
      </x:c>
      <x:c r="B9" s="36" t="n">
        <x:v>6</x:v>
      </x:c>
      <x:c r="C9" s="36" t="str">
        <x:v>AP 601, GL 601</x:v>
      </x:c>
      <x:c r="D9" s="36" t="n">
        <x:v>6</x:v>
      </x:c>
      <x:c r="E9" s="36" t="n">
        <x:v>6</x:v>
      </x:c>
      <x:c r="F9" s="37" t="str">
        <x:v>Complete</x:v>
      </x:c>
    </x:row>
    <x:row r="10">
      <x:c r="A10" s="38" t="str">
        <x:v>Total MDiv</x:v>
      </x:c>
      <x:c r="B10" s="38" t="n">
        <x:v>90</x:v>
      </x:c>
      <x:c r="C10" s="38" t="str">
        <x:v>All courses on GCTS Plan</x:v>
      </x:c>
      <x:c r="D10" s="38" t="n">
        <x:v>90</x:v>
      </x:c>
      <x:c r="E10" s="38" t="n">
        <x:f>'GCTS Plan'!E38</x:f>
        <x:v>90</x:v>
      </x:c>
      <x:c r="F10" s="39" t="str">
        <x:v>Matches the published total.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2" hidden="0" customWidth="1"/>
    <x:col min="3" max="3" width="66" hidden="0" customWidth="1"/>
    <x:col min="4" max="4" width="35" hidden="0" customWidth="1"/>
    <x:col min="5" max="5" width="47" hidden="0" customWidth="1"/>
    <x:col min="6" max="6" width="44" hidden="0" customWidth="1"/>
  </x:cols>
  <x:sheetData>
    <x:row r="1" ht="28" customHeight="1">
      <x:c r="A1" s="4" t="str">
        <x:v>Princeton New Testament PhD — Published Requirements Audit</x:v>
      </x:c>
      <x:c r="B1" s="4"/>
      <x:c r="C1" s="4"/>
      <x:c r="D1" s="4"/>
      <x:c r="E1" s="4"/>
      <x:c r="F1" s="4"/>
    </x:row>
    <x:row r="2" ht="44" customHeight="1">
      <x:c r="A2" s="11" t="str">
        <x:v>This audit distinguishes required categories and milestones from advisor-selected seminar titles.</x:v>
      </x:c>
      <x:c r="B2" s="11"/>
      <x:c r="C2" s="11"/>
      <x:c r="D2" s="11"/>
      <x:c r="E2" s="11"/>
      <x:c r="F2" s="11"/>
    </x:row>
    <x:row r="4">
      <x:c r="A4" s="21" t="str">
        <x:v>Published Requirement</x:v>
      </x:c>
      <x:c r="B4" s="21" t="str">
        <x:v>Timing</x:v>
      </x:c>
      <x:c r="C4" s="21" t="str">
        <x:v>How This Plan Addresses It</x:v>
      </x:c>
      <x:c r="D4" s="21" t="str">
        <x:v>Universal Named Course?</x:v>
      </x:c>
      <x:c r="E4" s="21" t="str">
        <x:v>Alternative / Choice</x:v>
      </x:c>
      <x:c r="F4" s="21" t="str">
        <x:v>Official Source</x:v>
      </x:c>
    </x:row>
    <x:row r="5">
      <x:c r="A5" s="36" t="str">
        <x:v>Two years of full-time residence and at least eight doctoral seminars or equivalent</x:v>
      </x:c>
      <x:c r="B5" s="36" t="str">
        <x:v>Years 1–2</x:v>
      </x:c>
      <x:c r="C5" s="36" t="str">
        <x:v>Interdisciplinary seminar, Foundations for Teaching, core-area seminars, and advisor-selected seminars.</x:v>
      </x:c>
      <x:c r="D5" s="36" t="str">
        <x:v>Partly; several are categories</x:v>
      </x:c>
      <x:c r="E5" s="36" t="str">
        <x:v>Committee may alter exact distribution.</x:v>
      </x:c>
      <x:c r="F5" s="37" t="str">
        <x:v>https://ptsem.edu/academics/phd-studies/phd-program/</x:v>
      </x:c>
    </x:row>
    <x:row r="6">
      <x:c r="A6" s="36" t="str">
        <x:v>New Testament students ordinarily take at least six 5000/9000-level seminars or courses per year</x:v>
      </x:c>
      <x:c r="B6" s="36" t="str">
        <x:v>Years 1–2</x:v>
      </x:c>
      <x:c r="C6" s="36" t="str">
        <x:v>Plan provides published first-year requirements and an ordinary six-course second year.</x:v>
      </x:c>
      <x:c r="D6" s="36" t="str">
        <x:v>No; most are advisor-selected</x:v>
      </x:c>
      <x:c r="E6" s="36" t="str">
        <x:v>Residence committee selects exact seminars.</x:v>
      </x:c>
      <x:c r="F6" s="37" t="str">
        <x:v>https://ptsem.edu/academics/departments/biblical-studies/phd-program/</x:v>
      </x:c>
    </x:row>
    <x:row r="7">
      <x:c r="A7" s="36" t="str">
        <x:v>First-Year Interdisciplinary Seminar</x:v>
      </x:c>
      <x:c r="B7" s="36" t="str">
        <x:v>Year 1</x:v>
      </x:c>
      <x:c r="C7" s="36" t="str">
        <x:v>Placed in Year 1 fall.</x:v>
      </x:c>
      <x:c r="D7" s="36" t="str">
        <x:v>Published requirement</x:v>
      </x:c>
      <x:c r="E7" s="36" t="str">
        <x:v>None stated.</x:v>
      </x:c>
      <x:c r="F7" s="37" t="str">
        <x:v>https://catalog.ptsem.edu/</x:v>
      </x:c>
    </x:row>
    <x:row r="8">
      <x:c r="A8" s="36" t="str">
        <x:v>Foundations for Teaching, yearlong</x:v>
      </x:c>
      <x:c r="B8" s="36" t="str">
        <x:v>Year 1</x:v>
      </x:c>
      <x:c r="C8" s="36" t="str">
        <x:v>Shown as fall and spring portions.</x:v>
      </x:c>
      <x:c r="D8" s="36" t="str">
        <x:v>Published requirement</x:v>
      </x:c>
      <x:c r="E8" s="36" t="str">
        <x:v>None stated.</x:v>
      </x:c>
      <x:c r="F8" s="37" t="str">
        <x:v>https://catalog.ptsem.edu/</x:v>
      </x:c>
    </x:row>
    <x:row r="9">
      <x:c r="A9" s="36" t="str">
        <x:v>At least one Greco-Roman environment seminar</x:v>
      </x:c>
      <x:c r="B9" s="36" t="str">
        <x:v>Residence</x:v>
      </x:c>
      <x:c r="C9" s="36" t="str">
        <x:v>Placed in Year 1 fall.</x:v>
      </x:c>
      <x:c r="D9" s="36" t="str">
        <x:v>Category only</x:v>
      </x:c>
      <x:c r="E9" s="36" t="str">
        <x:v>Another approved seminar.</x:v>
      </x:c>
      <x:c r="F9" s="37" t="str">
        <x:v>https://ptsem.edu/academics/departments/biblical-studies/phd-program/</x:v>
      </x:c>
    </x:row>
    <x:row r="10">
      <x:c r="A10" s="36" t="str">
        <x:v>At least one early Jewish environment seminar</x:v>
      </x:c>
      <x:c r="B10" s="36" t="str">
        <x:v>Residence</x:v>
      </x:c>
      <x:c r="C10" s="36" t="str">
        <x:v>Placed in Year 1 spring.</x:v>
      </x:c>
      <x:c r="D10" s="36" t="str">
        <x:v>Category only</x:v>
      </x:c>
      <x:c r="E10" s="36" t="str">
        <x:v>Another approved seminar.</x:v>
      </x:c>
      <x:c r="F10" s="37" t="str">
        <x:v>https://ptsem.edu/academics/departments/biblical-studies/phd-program/</x:v>
      </x:c>
    </x:row>
    <x:row r="11">
      <x:c r="A11" s="36" t="str">
        <x:v>At least two New Testament text/corpus seminars</x:v>
      </x:c>
      <x:c r="B11" s="36" t="str">
        <x:v>Residence</x:v>
      </x:c>
      <x:c r="C11" s="36" t="str">
        <x:v>Placed in Year 1 fall and spring.</x:v>
      </x:c>
      <x:c r="D11" s="36" t="str">
        <x:v>Category only</x:v>
      </x:c>
      <x:c r="E11" s="36" t="str">
        <x:v>Other approved text/corpus seminars.</x:v>
      </x:c>
      <x:c r="F11" s="37" t="str">
        <x:v>https://ptsem.edu/academics/departments/biblical-studies/phd-program/</x:v>
      </x:c>
    </x:row>
    <x:row r="12">
      <x:c r="A12" s="36" t="str">
        <x:v>New Testament Research Colloquium</x:v>
      </x:c>
      <x:c r="B12" s="36" t="str">
        <x:v>During residence</x:v>
      </x:c>
      <x:c r="C12" s="36" t="str">
        <x:v>Included in all four residence semesters.</x:v>
      </x:c>
      <x:c r="D12" s="36" t="str">
        <x:v>Published colloquium requirement</x:v>
      </x:c>
      <x:c r="E12" s="36" t="str">
        <x:v>None stated.</x:v>
      </x:c>
      <x:c r="F12" s="37" t="str">
        <x:v>https://ptsem.edu/academics/departments/biblical-studies/phd-program/</x:v>
      </x:c>
    </x:row>
    <x:row r="13">
      <x:c r="A13" s="36" t="str">
        <x:v>German</x:v>
      </x:c>
      <x:c r="B13" s="36" t="str">
        <x:v>Before matriculation ordinarily</x:v>
      </x:c>
      <x:c r="C13" s="36" t="str">
        <x:v>Listed as pre-matriculation competency.</x:v>
      </x:c>
      <x:c r="D13" s="36" t="str">
        <x:v>Competency, not universal course</x:v>
      </x:c>
      <x:c r="E13" s="36" t="str">
        <x:v>Program-approved method.</x:v>
      </x:c>
      <x:c r="F13" s="37" t="str">
        <x:v>https://ptsem.edu/academics/phd-studies/requirements/</x:v>
      </x:c>
    </x:row>
    <x:row r="14">
      <x:c r="A14" s="36" t="str">
        <x:v>Second modern research language</x:v>
      </x:c>
      <x:c r="B14" s="36" t="str">
        <x:v>Ordinarily by Year 2</x:v>
      </x:c>
      <x:c r="C14" s="36" t="str">
        <x:v>French recommended; Modern Hebrew alternative.</x:v>
      </x:c>
      <x:c r="D14" s="36" t="str">
        <x:v>Competency</x:v>
      </x:c>
      <x:c r="E14" s="36" t="str">
        <x:v>Chosen with residence committee.</x:v>
      </x:c>
      <x:c r="F14" s="37" t="str">
        <x:v>https://ptsem.edu/academics/phd-studies/requirements/</x:v>
      </x:c>
    </x:row>
    <x:row r="15">
      <x:c r="A15" s="36" t="str">
        <x:v>Greek, Hebrew, and one of Aramaic/Syriac/Latin/Coptic</x:v>
      </x:c>
      <x:c r="B15" s="36" t="str">
        <x:v>During program</x:v>
      </x:c>
      <x:c r="C15" s="36" t="str">
        <x:v>Greek exams, Hebrew competency, and Latin recommendation included.</x:v>
      </x:c>
      <x:c r="D15" s="36" t="str">
        <x:v>Competencies/exams</x:v>
      </x:c>
      <x:c r="E15" s="36" t="str">
        <x:v>Syriac is an alternative.</x:v>
      </x:c>
      <x:c r="F15" s="37" t="str">
        <x:v>https://ptsem.edu/academics/departments/biblical-studies/phd-program/</x:v>
      </x:c>
    </x:row>
    <x:row r="16">
      <x:c r="A16" s="36" t="str">
        <x:v>NT Greek exam and Septuagint Greek exam</x:v>
      </x:c>
      <x:c r="B16" s="36" t="str">
        <x:v>May Year 1 and May Year 2</x:v>
      </x:c>
      <x:c r="C16" s="36" t="str">
        <x:v>Both examinations included.</x:v>
      </x:c>
      <x:c r="D16" s="36" t="str">
        <x:v>Examinations</x:v>
      </x:c>
      <x:c r="E16" s="36" t="str">
        <x:v>None stated.</x:v>
      </x:c>
      <x:c r="F16" s="37" t="str">
        <x:v>https://ptsem.edu/academics/departments/biblical-studies/phd-program/</x:v>
      </x:c>
    </x:row>
    <x:row r="17">
      <x:c r="A17" s="36" t="str">
        <x:v>Four written comprehensives plus oral examination</x:v>
      </x:c>
      <x:c r="B17" s="36" t="str">
        <x:v>Year 3</x:v>
      </x:c>
      <x:c r="C17" s="36" t="str">
        <x:v>All four fields and oral defense included.</x:v>
      </x:c>
      <x:c r="D17" s="36" t="str">
        <x:v>Examinations</x:v>
      </x:c>
      <x:c r="E17" s="36" t="str">
        <x:v>Special Research Area individualized.</x:v>
      </x:c>
      <x:c r="F17" s="37" t="str">
        <x:v>https://ptsem.edu/academics/departments/biblical-studies/phd-program/</x:v>
      </x:c>
    </x:row>
    <x:row r="18">
      <x:c r="A18" s="36" t="str">
        <x:v>Proposal approved by final PhD Studies Committee meeting of Year 3</x:v>
      </x:c>
      <x:c r="B18" s="36" t="str">
        <x:v>Year 3</x:v>
      </x:c>
      <x:c r="C18" s="36" t="str">
        <x:v>Proposal development and approval included.</x:v>
      </x:c>
      <x:c r="D18" s="36" t="str">
        <x:v>Milestone</x:v>
      </x:c>
      <x:c r="E18" s="36" t="str">
        <x:v>None stated.</x:v>
      </x:c>
      <x:c r="F18" s="37" t="str">
        <x:v>https://ptsem.edu/academics/phd-studies/phd-program/</x:v>
      </x:c>
    </x:row>
    <x:row r="19">
      <x:c r="A19" s="38" t="str">
        <x:v>Dissertation research, defense, and final submission</x:v>
      </x:c>
      <x:c r="B19" s="38" t="str">
        <x:v>Years 4–5</x:v>
      </x:c>
      <x:c r="C19" s="38" t="str">
        <x:v>Research/writing, review preparation, defense, and submission included.</x:v>
      </x:c>
      <x:c r="D19" s="38" t="str">
        <x:v>Doctoral work and milestones</x:v>
      </x:c>
      <x:c r="E19" s="38" t="str">
        <x:v>Registration notation may vary.</x:v>
      </x:c>
      <x:c r="F19" s="39" t="str">
        <x:v>https://ptsem.edu/academics/phd-studies/phd-program/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67" hidden="0" customWidth="1"/>
    <x:col min="3" max="3" width="30" hidden="0" customWidth="1"/>
    <x:col min="4" max="4" width="82" hidden="0" customWidth="1"/>
  </x:cols>
  <x:sheetData>
    <x:row r="1" ht="28" customHeight="1">
      <x:c r="A1" s="4" t="str">
        <x:v>Official Sources Used</x:v>
      </x:c>
      <x:c r="B1" s="4"/>
      <x:c r="C1" s="4"/>
      <x:c r="D1" s="4"/>
    </x:row>
    <x:row r="2" ht="44" customHeight="1">
      <x:c r="A2" s="11" t="str">
        <x:v>Official institutional catalog and program pages used to select courses and define requirements.</x:v>
      </x:c>
      <x:c r="B2" s="11"/>
      <x:c r="C2" s="11"/>
      <x:c r="D2" s="11"/>
    </x:row>
    <x:row r="4">
      <x:c r="A4" s="21" t="str">
        <x:v>Institution</x:v>
      </x:c>
      <x:c r="B4" s="21" t="str">
        <x:v>Source / Scope</x:v>
      </x:c>
      <x:c r="C4" s="21" t="str">
        <x:v>Catalog Basis</x:v>
      </x:c>
      <x:c r="D4" s="21" t="str">
        <x:v>Official URL</x:v>
      </x:c>
    </x:row>
    <x:row r="5">
      <x:c r="A5" s="36" t="str">
        <x:v>Wheaton College</x:v>
      </x:c>
      <x:c r="B5" s="36" t="str">
        <x:v>Greek Major Integrated with Biblical and Theological Studies</x:v>
      </x:c>
      <x:c r="C5" s="36" t="str">
        <x:v>2026–27 catalog</x:v>
      </x:c>
      <x:c r="D5" s="37" t="str">
        <x:v>https://catalog.wheaton.edu/undergraduate/arts-sciences/modern-classical-languages/cl/greek_w_bts/</x:v>
      </x:c>
    </x:row>
    <x:row r="6">
      <x:c r="A6" s="36" t="str">
        <x:v>Wheaton College</x:v>
      </x:c>
      <x:c r="B6" s="36" t="str">
        <x:v>Academic requirements and general education</x:v>
      </x:c>
      <x:c r="C6" s="36" t="str">
        <x:v>2026–27 catalog</x:v>
      </x:c>
      <x:c r="D6" s="37" t="str">
        <x:v>https://catalog.wheaton.edu/undergraduate/academic-policies-information/academic-requirements-general-education/</x:v>
      </x:c>
    </x:row>
    <x:row r="7">
      <x:c r="A7" s="36" t="str">
        <x:v>Wheaton College</x:v>
      </x:c>
      <x:c r="B7" s="36" t="str">
        <x:v>Biblical and Theological Studies course descriptions</x:v>
      </x:c>
      <x:c r="C7" s="36" t="str">
        <x:v>2026–27 catalog</x:v>
      </x:c>
      <x:c r="D7" s="37" t="str">
        <x:v>https://catalog.wheaton.edu/course-descriptions/bith/</x:v>
      </x:c>
    </x:row>
    <x:row r="8">
      <x:c r="A8" s="36" t="str">
        <x:v>Wheaton College</x:v>
      </x:c>
      <x:c r="B8" s="36" t="str">
        <x:v>Greek, Hebrew, Classical Languages, Latin course descriptions</x:v>
      </x:c>
      <x:c r="C8" s="36" t="str">
        <x:v>2026–27 catalog</x:v>
      </x:c>
      <x:c r="D8" s="37" t="str">
        <x:v>https://catalog.wheaton.edu/course-descriptions/grek/</x:v>
      </x:c>
    </x:row>
    <x:row r="9">
      <x:c r="A9" s="36" t="str">
        <x:v>Wheaton College</x:v>
      </x:c>
      <x:c r="B9" s="36" t="str">
        <x:v>Philosophy, Religion, Ministry, Archaeology course descriptions</x:v>
      </x:c>
      <x:c r="C9" s="36" t="str">
        <x:v>2026–27 catalog</x:v>
      </x:c>
      <x:c r="D9" s="37" t="str">
        <x:v>https://catalog.wheaton.edu/course-descriptions/phil/</x:v>
      </x:c>
    </x:row>
    <x:row r="10">
      <x:c r="A10" s="36" t="str">
        <x:v>Gordon-Conwell Theological Seminary</x:v>
      </x:c>
      <x:c r="B10" s="36" t="str">
        <x:v>Academic Catalog: MDiv requirements and course descriptions</x:v>
      </x:c>
      <x:c r="C10" s="36" t="str">
        <x:v>2026–27 academic catalog</x:v>
      </x:c>
      <x:c r="D10" s="37" t="str">
        <x:v>https://www.gordonconwell.edu/wp-content/uploads/2026/08/Academic-Catalog-2026-27.pdf</x:v>
      </x:c>
    </x:row>
    <x:row r="11">
      <x:c r="A11" s="36" t="str">
        <x:v>Princeton Theological Seminary</x:v>
      </x:c>
      <x:c r="B11" s="36" t="str">
        <x:v>New Testament PhD field requirements</x:v>
      </x:c>
      <x:c r="C11" s="36" t="str">
        <x:v>Current program page/catalog</x:v>
      </x:c>
      <x:c r="D11" s="37" t="str">
        <x:v>https://ptsem.edu/academics/departments/biblical-studies/phd-program/</x:v>
      </x:c>
    </x:row>
    <x:row r="12">
      <x:c r="A12" s="36" t="str">
        <x:v>Princeton Theological Seminary</x:v>
      </x:c>
      <x:c r="B12" s="36" t="str">
        <x:v>PhD language and competency requirements</x:v>
      </x:c>
      <x:c r="C12" s="36" t="str">
        <x:v>Current program page/catalog</x:v>
      </x:c>
      <x:c r="D12" s="37" t="str">
        <x:v>https://ptsem.edu/academics/phd-studies/requirements/</x:v>
      </x:c>
    </x:row>
    <x:row r="13">
      <x:c r="A13" s="36" t="str">
        <x:v>Princeton Theological Seminary</x:v>
      </x:c>
      <x:c r="B13" s="36" t="str">
        <x:v>PhD residence, comprehensive examinations, proposal, and five-year structure</x:v>
      </x:c>
      <x:c r="C13" s="36" t="str">
        <x:v>Current program page/catalog</x:v>
      </x:c>
      <x:c r="D13" s="37" t="str">
        <x:v>https://ptsem.edu/academics/phd-studies/phd-program/</x:v>
      </x:c>
    </x:row>
    <x:row r="14">
      <x:c r="A14" s="38" t="str">
        <x:v>Princeton Theological Seminary</x:v>
      </x:c>
      <x:c r="B14" s="38" t="str">
        <x:v>Program-of-study catalog requirements</x:v>
      </x:c>
      <x:c r="C14" s="38" t="str">
        <x:v>Current catalog</x:v>
      </x:c>
      <x:c r="D14" s="39" t="str">
        <x:v>https://catalog.ptsem.edu/</x:v>
      </x:c>
    </x:row>
  </x:sheetData>
  <x:mergeCells>
    <x:mergeCell ref="A1:D1"/>
    <x:mergeCell ref="A2:D2"/>
  </x:mergeCells>
  <x:pageMargins left="0.7" right="0.7" top="0.75" bottom="0.75" header="0.3" footer="0.3"/>
</x:worksheet>
</file>